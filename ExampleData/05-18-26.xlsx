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R:\Front Desk\We care Log\We Care 2026\We Care May\"/>
    </mc:Choice>
  </mc:AlternateContent>
  <xr:revisionPtr revIDLastSave="0" documentId="13_ncr:1_{F625668C-460E-42A3-B5D6-B1725F9E5B51}" xr6:coauthVersionLast="47" xr6:coauthVersionMax="47" xr10:uidLastSave="{00000000-0000-0000-0000-000000000000}"/>
  <bookViews>
    <workbookView xWindow="21480" yWindow="-120" windowWidth="21840" windowHeight="13020" tabRatio="731" activeTab="4" xr2:uid="{00000000-000D-0000-FFFF-FFFF00000000}"/>
  </bookViews>
  <sheets>
    <sheet name="Courtesy Call Log" sheetId="9" r:id="rId1"/>
    <sheet name="Room Moves" sheetId="8" r:id="rId2"/>
    <sheet name="Ballroom Bathrooms Upkeep" sheetId="7" r:id="rId3"/>
    <sheet name="Snapshot" sheetId="6" r:id="rId4"/>
    <sheet name="Front Desk Log Book " sheetId="5" r:id="rId5"/>
    <sheet name="Statistics" sheetId="1" state="hidden" r:id="rId6"/>
    <sheet name="COMP &amp; OOO Rooms" sheetId="2" r:id="rId7"/>
    <sheet name="Pool Inspection &amp; Open-Close" sheetId="13" r:id="rId8"/>
    <sheet name="Groups" sheetId="4" state="hidden" r:id="rId9"/>
  </sheets>
  <definedNames>
    <definedName name="_xlnm.Print_Area" localSheetId="4">'Front Desk Log Book '!$A$1:$J$10</definedName>
    <definedName name="_xlnm.Print_Area" localSheetId="8">Groups!$A$1:$T$32</definedName>
    <definedName name="_xlnm.Print_Area" localSheetId="3">Snapshot!$A$1:$F$52</definedName>
    <definedName name="_xlnm.Print_Area" localSheetId="5">Statistics!$A$1:$I$36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8" i="2" l="1"/>
  <c r="B5" i="1"/>
  <c r="B10" i="1" s="1"/>
  <c r="R12" i="4"/>
  <c r="D12" i="4"/>
  <c r="J12" i="4" s="1"/>
  <c r="R13" i="4"/>
  <c r="D13" i="4"/>
  <c r="J13" i="4" s="1"/>
  <c r="R11" i="4"/>
  <c r="D11" i="4"/>
  <c r="J11" i="4" s="1"/>
  <c r="R10" i="4"/>
  <c r="D10" i="4"/>
  <c r="J10" i="4" s="1"/>
  <c r="D14" i="4"/>
  <c r="J14" i="4" s="1"/>
  <c r="R8" i="4"/>
  <c r="R5" i="4"/>
  <c r="D8" i="4"/>
  <c r="J8" i="4" s="1"/>
  <c r="D5" i="4"/>
  <c r="J5" i="4" s="1"/>
  <c r="R18" i="4"/>
  <c r="M18" i="4"/>
  <c r="K18" i="4"/>
  <c r="D18" i="4"/>
  <c r="J18" i="4" s="1"/>
  <c r="R9" i="4"/>
  <c r="D9" i="4"/>
  <c r="J9" i="4" s="1"/>
  <c r="R6" i="4"/>
  <c r="D6" i="4"/>
  <c r="J6" i="4" s="1"/>
  <c r="R7" i="4"/>
  <c r="D7" i="4"/>
  <c r="J7" i="4" s="1"/>
  <c r="B16" i="1"/>
  <c r="R14" i="4"/>
  <c r="R19" i="4"/>
  <c r="I20" i="4"/>
  <c r="H20" i="4"/>
  <c r="G20" i="4"/>
  <c r="F20" i="4"/>
  <c r="E20" i="4"/>
  <c r="T20" i="4"/>
  <c r="S20" i="4"/>
  <c r="Q20" i="4"/>
  <c r="O20" i="4"/>
  <c r="P20" i="4"/>
  <c r="S15" i="4"/>
  <c r="B24" i="1"/>
  <c r="T15" i="4"/>
  <c r="Q15" i="4"/>
  <c r="P15" i="4"/>
  <c r="R15" i="4" s="1"/>
  <c r="O15" i="4"/>
  <c r="I15" i="4"/>
  <c r="H15" i="4"/>
  <c r="G15" i="4"/>
  <c r="G22" i="4" s="1"/>
  <c r="F15" i="4"/>
  <c r="F22" i="4" s="1"/>
  <c r="E15" i="4"/>
  <c r="D19" i="4"/>
  <c r="J19" i="4" s="1"/>
  <c r="K19" i="4"/>
  <c r="M19" i="4"/>
  <c r="B19" i="1"/>
  <c r="I5" i="1"/>
  <c r="I4" i="1"/>
  <c r="L15" i="4"/>
  <c r="L22" i="4" s="1"/>
  <c r="N15" i="4"/>
  <c r="N22" i="4" s="1"/>
  <c r="L20" i="4"/>
  <c r="N20" i="4"/>
  <c r="Q22" i="4"/>
  <c r="C17" i="1"/>
  <c r="M15" i="4"/>
  <c r="M22" i="4" s="1"/>
  <c r="R20" i="4" l="1"/>
  <c r="K20" i="4"/>
  <c r="B9" i="1"/>
  <c r="C19" i="1"/>
  <c r="M20" i="4"/>
  <c r="D15" i="4"/>
  <c r="J15" i="4" s="1"/>
  <c r="S22" i="4"/>
  <c r="H22" i="4"/>
  <c r="O22" i="4"/>
  <c r="P22" i="4"/>
  <c r="R22" i="4" s="1"/>
  <c r="E22" i="4"/>
  <c r="K15" i="4"/>
  <c r="K22" i="4" s="1"/>
  <c r="I22" i="4"/>
  <c r="T22" i="4"/>
  <c r="B20" i="1"/>
  <c r="D20" i="4"/>
  <c r="J20" i="4" s="1"/>
  <c r="C18" i="1"/>
  <c r="E17" i="1" l="1"/>
  <c r="E19" i="1" s="1"/>
  <c r="E20" i="1" s="1"/>
  <c r="D22" i="4"/>
  <c r="J22" i="4" s="1"/>
  <c r="E18" i="1" l="1"/>
  <c r="E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vbattaglia</author>
  </authors>
  <commentList>
    <comment ref="B5" authorId="0" shapeId="0" xr:uid="{00000000-0006-0000-0200-000001000000}">
      <text>
        <r>
          <rPr>
            <b/>
            <sz val="8"/>
            <color indexed="81"/>
            <rFont val="Tahoma"/>
            <family val="2"/>
          </rPr>
          <t>Formula (do not change cell)</t>
        </r>
        <r>
          <rPr>
            <sz val="8"/>
            <color indexed="81"/>
            <rFont val="Tahoma"/>
            <family val="2"/>
          </rPr>
          <t xml:space="preserve">
</t>
        </r>
      </text>
    </comment>
    <comment ref="B6" authorId="0" shapeId="0" xr:uid="{00000000-0006-0000-0200-000002000000}">
      <text>
        <r>
          <rPr>
            <b/>
            <sz val="8"/>
            <color indexed="81"/>
            <rFont val="Tahoma"/>
            <family val="2"/>
          </rPr>
          <t>View Totals (Snapshot)</t>
        </r>
        <r>
          <rPr>
            <sz val="8"/>
            <color indexed="81"/>
            <rFont val="Tahoma"/>
            <family val="2"/>
          </rPr>
          <t xml:space="preserve">
</t>
        </r>
      </text>
    </comment>
    <comment ref="B7" authorId="0" shapeId="0" xr:uid="{00000000-0006-0000-0200-000003000000}">
      <text>
        <r>
          <rPr>
            <b/>
            <sz val="8"/>
            <color indexed="81"/>
            <rFont val="Tahoma"/>
            <family val="2"/>
          </rPr>
          <t>Report= group member status (select rate plan code "CMP" and "HOU" and guest status = Arrived</t>
        </r>
        <r>
          <rPr>
            <sz val="8"/>
            <color indexed="81"/>
            <rFont val="Tahoma"/>
            <family val="2"/>
          </rPr>
          <t xml:space="preserve">
</t>
        </r>
      </text>
    </comment>
    <comment ref="B8" authorId="0" shapeId="0" xr:uid="{00000000-0006-0000-0200-000004000000}">
      <text>
        <r>
          <rPr>
            <b/>
            <sz val="8"/>
            <color indexed="81"/>
            <rFont val="Tahoma"/>
            <family val="2"/>
          </rPr>
          <t>Report = OOO report</t>
        </r>
        <r>
          <rPr>
            <sz val="8"/>
            <color indexed="81"/>
            <rFont val="Tahoma"/>
            <family val="2"/>
          </rPr>
          <t xml:space="preserve">
</t>
        </r>
      </text>
    </comment>
    <comment ref="B9" authorId="0" shapeId="0" xr:uid="{00000000-0006-0000-0200-000005000000}">
      <text>
        <r>
          <rPr>
            <b/>
            <sz val="8"/>
            <color indexed="81"/>
            <rFont val="Tahoma"/>
            <family val="2"/>
          </rPr>
          <t>Formula (do not change cell)</t>
        </r>
        <r>
          <rPr>
            <sz val="8"/>
            <color indexed="81"/>
            <rFont val="Tahoma"/>
            <family val="2"/>
          </rPr>
          <t xml:space="preserve">
</t>
        </r>
      </text>
    </comment>
    <comment ref="B10" authorId="0" shapeId="0" xr:uid="{00000000-0006-0000-0200-000006000000}">
      <text>
        <r>
          <rPr>
            <b/>
            <sz val="8"/>
            <color indexed="81"/>
            <rFont val="Tahoma"/>
            <family val="2"/>
          </rPr>
          <t>Formula (do not change cell)</t>
        </r>
        <r>
          <rPr>
            <sz val="8"/>
            <color indexed="81"/>
            <rFont val="Tahoma"/>
            <family val="2"/>
          </rPr>
          <t xml:space="preserve">
</t>
        </r>
      </text>
    </comment>
    <comment ref="B14" authorId="0" shapeId="0" xr:uid="{00000000-0006-0000-0200-000007000000}">
      <text>
        <r>
          <rPr>
            <b/>
            <sz val="8"/>
            <color indexed="81"/>
            <rFont val="Tahoma"/>
            <family val="2"/>
          </rPr>
          <t>Before EOD get the number from the snapshot "beginning of day"</t>
        </r>
        <r>
          <rPr>
            <sz val="8"/>
            <color indexed="81"/>
            <rFont val="Tahoma"/>
            <family val="2"/>
          </rPr>
          <t xml:space="preserve">
</t>
        </r>
      </text>
    </comment>
    <comment ref="B15" authorId="0" shapeId="0" xr:uid="{00000000-0006-0000-0200-000008000000}">
      <text>
        <r>
          <rPr>
            <b/>
            <sz val="8"/>
            <color indexed="81"/>
            <rFont val="Tahoma"/>
            <family val="2"/>
          </rPr>
          <t>Snapshot screen</t>
        </r>
        <r>
          <rPr>
            <sz val="8"/>
            <color indexed="81"/>
            <rFont val="Tahoma"/>
            <family val="2"/>
          </rPr>
          <t xml:space="preserve">
</t>
        </r>
      </text>
    </comment>
    <comment ref="B16" authorId="0" shapeId="0" xr:uid="{00000000-0006-0000-0200-000009000000}">
      <text>
        <r>
          <rPr>
            <b/>
            <sz val="8"/>
            <color indexed="81"/>
            <rFont val="Tahoma"/>
            <family val="2"/>
          </rPr>
          <t>Formula (do not change cell)</t>
        </r>
        <r>
          <rPr>
            <sz val="8"/>
            <color indexed="81"/>
            <rFont val="Tahoma"/>
            <family val="2"/>
          </rPr>
          <t xml:space="preserve">
</t>
        </r>
      </text>
    </comment>
    <comment ref="B20" authorId="0" shapeId="0" xr:uid="{00000000-0006-0000-0200-00000A000000}">
      <text>
        <r>
          <rPr>
            <b/>
            <sz val="8"/>
            <color indexed="81"/>
            <rFont val="Tahoma"/>
            <family val="2"/>
          </rPr>
          <t>Formula (do not change cell)</t>
        </r>
        <r>
          <rPr>
            <sz val="8"/>
            <color indexed="81"/>
            <rFont val="Tahoma"/>
            <family val="2"/>
          </rPr>
          <t xml:space="preserve">
</t>
        </r>
      </text>
    </comment>
  </commentList>
</comments>
</file>

<file path=xl/sharedStrings.xml><?xml version="1.0" encoding="utf-8"?>
<sst xmlns="http://schemas.openxmlformats.org/spreadsheetml/2006/main" count="443" uniqueCount="335">
  <si>
    <t>Daily Hotel Statistics</t>
  </si>
  <si>
    <t>Total House</t>
  </si>
  <si>
    <t>Occ. Rev.Rooms</t>
  </si>
  <si>
    <t>Vacancies</t>
  </si>
  <si>
    <t>Out of Order</t>
  </si>
  <si>
    <t>Total Occupied Rooms</t>
  </si>
  <si>
    <t>Number Of Guests</t>
  </si>
  <si>
    <t xml:space="preserve"> </t>
  </si>
  <si>
    <t>ARRIVAL BREAKDOWN</t>
  </si>
  <si>
    <t>Reservation Count</t>
  </si>
  <si>
    <t>Same Day Reservations</t>
  </si>
  <si>
    <t>Total Reservations</t>
  </si>
  <si>
    <t>Did Not Arrive</t>
  </si>
  <si>
    <t>Total Arrivals</t>
  </si>
  <si>
    <t>Early Checkouts</t>
  </si>
  <si>
    <t>Stayovers</t>
  </si>
  <si>
    <t>Dishonored Reservations</t>
  </si>
  <si>
    <t>Charged No Shows</t>
  </si>
  <si>
    <t>Reason</t>
  </si>
  <si>
    <t>Rsvns</t>
  </si>
  <si>
    <t>Arrivals</t>
  </si>
  <si>
    <t>Departures</t>
  </si>
  <si>
    <t>No Shows</t>
  </si>
  <si>
    <t>Cancels</t>
  </si>
  <si>
    <t>No Show %</t>
  </si>
  <si>
    <t>Singles</t>
  </si>
  <si>
    <t>Twins</t>
  </si>
  <si>
    <t>Main Hotel Rooms</t>
  </si>
  <si>
    <t>Towers Rooms</t>
  </si>
  <si>
    <t>Suites</t>
  </si>
  <si>
    <t>Total Rooms</t>
  </si>
  <si>
    <t>Total Guests</t>
  </si>
  <si>
    <t>Double Occupancy %</t>
  </si>
  <si>
    <t>Walks</t>
  </si>
  <si>
    <t>TOTALS</t>
  </si>
  <si>
    <t>`</t>
  </si>
  <si>
    <t>Out of Order Rooms Report</t>
  </si>
  <si>
    <t>Early Departures</t>
  </si>
  <si>
    <t>Room#</t>
  </si>
  <si>
    <t>Reported By</t>
  </si>
  <si>
    <t>Guest Issue</t>
  </si>
  <si>
    <t>Name</t>
  </si>
  <si>
    <t>Occupancy</t>
  </si>
  <si>
    <t>Room</t>
  </si>
  <si>
    <t>Company / Reason</t>
  </si>
  <si>
    <t>Approved by:</t>
  </si>
  <si>
    <t>c/o Date</t>
  </si>
  <si>
    <t>TOTAL: COMPS</t>
  </si>
  <si>
    <t>TOTAL: HOUSE</t>
  </si>
  <si>
    <t>Hotel Tracking Statistics</t>
  </si>
  <si>
    <t>Today</t>
  </si>
  <si>
    <t>MTD</t>
  </si>
  <si>
    <t>Express Checkouts</t>
  </si>
  <si>
    <t>Early Departures Fees</t>
  </si>
  <si>
    <t>Early Departure Revenue</t>
  </si>
  <si>
    <t>F.O. Upsell Revenue</t>
  </si>
  <si>
    <t>HHonors Tracking</t>
  </si>
  <si>
    <t>Actual Arrivals</t>
  </si>
  <si>
    <t>Occupied Rooms</t>
  </si>
  <si>
    <t>Variance</t>
  </si>
  <si>
    <t>Comps / House</t>
  </si>
  <si>
    <t xml:space="preserve">House Rooms </t>
  </si>
  <si>
    <t>Total Grp. Occ</t>
  </si>
  <si>
    <t>% of GRP. Occ</t>
  </si>
  <si>
    <t>Total Transient Occ.</t>
  </si>
  <si>
    <t>% of Transient Occ.</t>
  </si>
  <si>
    <t>Total Permanent Occ.</t>
  </si>
  <si>
    <t>% Permant Occ.</t>
  </si>
  <si>
    <t>Occupancy %</t>
  </si>
  <si>
    <t>MOD - Logbook Report</t>
  </si>
  <si>
    <t>Rooms:</t>
  </si>
  <si>
    <t>Occupancy:</t>
  </si>
  <si>
    <t>Same Day Cancels</t>
  </si>
  <si>
    <t>OnQ PMS Totals</t>
  </si>
  <si>
    <t>14 Day Forecast Totals</t>
  </si>
  <si>
    <t>Company</t>
  </si>
  <si>
    <t>Arrival Date</t>
  </si>
  <si>
    <t>Departure Date</t>
  </si>
  <si>
    <t>Returning Y/N</t>
  </si>
  <si>
    <t>Cab Fare</t>
  </si>
  <si>
    <t>Pre-Reg Room</t>
  </si>
  <si>
    <t>Walk Rate / Hotel</t>
  </si>
  <si>
    <t>Comments</t>
  </si>
  <si>
    <t>Relocated Guests</t>
  </si>
  <si>
    <t>Receptions / Weddings</t>
  </si>
  <si>
    <t>Conventions / Groups</t>
  </si>
  <si>
    <t>Overnight MOD (notes)</t>
  </si>
  <si>
    <t>Total Departures</t>
  </si>
  <si>
    <t>Check Outs</t>
  </si>
  <si>
    <t>Stay Over</t>
  </si>
  <si>
    <t>Total: CXL/NS/DR</t>
  </si>
  <si>
    <t>RM#</t>
  </si>
  <si>
    <t>TYPE</t>
  </si>
  <si>
    <t>DATE IN</t>
  </si>
  <si>
    <t>DATE OUT</t>
  </si>
  <si>
    <t xml:space="preserve">                REASON and/or COMMENTS</t>
  </si>
  <si>
    <t>In Person Check Outs</t>
  </si>
  <si>
    <t>Complimentary Rooms</t>
  </si>
  <si>
    <t>TOTAL:</t>
  </si>
  <si>
    <t>Groups In House</t>
  </si>
  <si>
    <t xml:space="preserve"> Rooms Available</t>
  </si>
  <si>
    <t>Overall Service</t>
  </si>
  <si>
    <t xml:space="preserve"> Proj. Occupancy %</t>
  </si>
  <si>
    <t xml:space="preserve"> Arrivals</t>
  </si>
  <si>
    <t xml:space="preserve"> Departures</t>
  </si>
  <si>
    <t>Room Status</t>
  </si>
  <si>
    <t xml:space="preserve">  Projected Room Available</t>
  </si>
  <si>
    <t xml:space="preserve">  Projected Rooms Occupied</t>
  </si>
  <si>
    <t xml:space="preserve">  Projected Occupancy %</t>
  </si>
  <si>
    <t xml:space="preserve">  Arrivals</t>
  </si>
  <si>
    <t xml:space="preserve">  Departures</t>
  </si>
  <si>
    <t>Site Inspection Log</t>
  </si>
  <si>
    <t>Group</t>
  </si>
  <si>
    <t>Yr / Total Room Nights</t>
  </si>
  <si>
    <t>Date/Time</t>
  </si>
  <si>
    <t>Sales / Events Mgr.</t>
  </si>
  <si>
    <t>MOD</t>
  </si>
  <si>
    <t>Saturday</t>
  </si>
  <si>
    <t>Sunday</t>
  </si>
  <si>
    <t>Monday</t>
  </si>
  <si>
    <t>Thursday</t>
  </si>
  <si>
    <t>Friday</t>
  </si>
  <si>
    <t>Stats</t>
  </si>
  <si>
    <t>Time Received</t>
  </si>
  <si>
    <t>Time Resolved</t>
  </si>
  <si>
    <t>Service Recovery</t>
  </si>
  <si>
    <t>Follow up Call</t>
  </si>
  <si>
    <t xml:space="preserve"> Person Contacted</t>
  </si>
  <si>
    <t>Total 1</t>
  </si>
  <si>
    <t>Red Lion Hotel &amp; Conference Center Pasco, WA</t>
  </si>
  <si>
    <t xml:space="preserve">Service Scores </t>
  </si>
  <si>
    <t>Shuttle Log</t>
  </si>
  <si>
    <t>TIME</t>
  </si>
  <si>
    <t>ROOM #</t>
  </si>
  <si>
    <t>GUEST #</t>
  </si>
  <si>
    <t>DESTINATION</t>
  </si>
  <si>
    <t>SHUTTLE DRIVER</t>
  </si>
  <si>
    <t xml:space="preserve"> Proj. Rooms Occ</t>
  </si>
  <si>
    <t>Location</t>
  </si>
  <si>
    <t>Comments and Follow Up</t>
  </si>
  <si>
    <t>Red Lion Employee Rooms</t>
  </si>
  <si>
    <t>Guest Detail/ Sonesta/ or travel sites</t>
  </si>
  <si>
    <t>Moncscige Update/ MOD review</t>
  </si>
  <si>
    <t xml:space="preserve">Vehicle </t>
  </si>
  <si>
    <t>Description</t>
  </si>
  <si>
    <t xml:space="preserve"> Date Notice on Vehicle</t>
  </si>
  <si>
    <t>Tuesday</t>
  </si>
  <si>
    <t>Wedesnday</t>
  </si>
  <si>
    <t>Vehicles Parked PNF Permits</t>
  </si>
  <si>
    <t xml:space="preserve"> Stay overs </t>
  </si>
  <si>
    <t xml:space="preserve">Stay Overs </t>
  </si>
  <si>
    <t>Mandatory Inspect Guest's Rest Room (Hourly Inspect) by Front Desk</t>
  </si>
  <si>
    <t>Inspect by</t>
  </si>
  <si>
    <t>Time</t>
  </si>
  <si>
    <t>Floors</t>
  </si>
  <si>
    <t>Bathroom Stalls</t>
  </si>
  <si>
    <t>Supplies</t>
  </si>
  <si>
    <t>Comments/needs</t>
  </si>
  <si>
    <t>24 HRS</t>
  </si>
  <si>
    <t>10 min to 15 min varience to inspect acceptable</t>
  </si>
  <si>
    <t>Room Moves</t>
  </si>
  <si>
    <t>Guest Name</t>
  </si>
  <si>
    <t>Date</t>
  </si>
  <si>
    <t>New Room Number</t>
  </si>
  <si>
    <t>Remarks</t>
  </si>
  <si>
    <t>Notified Sup/We Care</t>
  </si>
  <si>
    <t>Guest Courtesy Call Log</t>
  </si>
  <si>
    <t>Room Number</t>
  </si>
  <si>
    <t>Room Service</t>
  </si>
  <si>
    <t>Check-In Time</t>
  </si>
  <si>
    <t>Call Time</t>
  </si>
  <si>
    <t>Staff Initials</t>
  </si>
  <si>
    <t>Yesterday</t>
  </si>
  <si>
    <t>AMTRAK</t>
  </si>
  <si>
    <t>Mandatory Pool Inspection &amp; Open/Close</t>
  </si>
  <si>
    <t>Standard Open time:</t>
  </si>
  <si>
    <t>10:00am</t>
  </si>
  <si>
    <t>Actual Open time:</t>
  </si>
  <si>
    <t>Initials:</t>
  </si>
  <si>
    <t>Chemical Check Time</t>
  </si>
  <si>
    <t>Staff Member who checked chemicals:</t>
  </si>
  <si>
    <t>Standard Close time:</t>
  </si>
  <si>
    <t>10:00pm</t>
  </si>
  <si>
    <t>Actual Close time:</t>
  </si>
  <si>
    <t>Staff Member Locking Pool</t>
  </si>
  <si>
    <t>Staff Member Unlocking  Name:</t>
  </si>
  <si>
    <t>Lock Check Time</t>
  </si>
  <si>
    <t>11:30pm</t>
  </si>
  <si>
    <t>Verification Time</t>
  </si>
  <si>
    <t>Security Guard who verfied Pool Lock</t>
  </si>
  <si>
    <t xml:space="preserve">Guest from Douglas Fruits came to front desk saying they need the AV setup since their meeting starts in 15 mins. Tried my best to contact Jesse but got no response.. </t>
  </si>
  <si>
    <t>Olympic Ballroom</t>
  </si>
  <si>
    <t>7:43am</t>
  </si>
  <si>
    <t>Front Desk</t>
  </si>
  <si>
    <t>Douglas Fruits</t>
  </si>
  <si>
    <t>8:53Am</t>
  </si>
  <si>
    <t>Got a hold of Jesse and he is now, setting up for Douglas Fruis. Client seems happy and pleased with the results.</t>
  </si>
  <si>
    <t>N/A</t>
  </si>
  <si>
    <t>Fernanda</t>
  </si>
  <si>
    <t xml:space="preserve">Autumn </t>
  </si>
  <si>
    <t>8:50Am</t>
  </si>
  <si>
    <t xml:space="preserve">The ballroom was too hot </t>
  </si>
  <si>
    <t>8:54Am</t>
  </si>
  <si>
    <t xml:space="preserve">Put in a work order for the issue to be adressed </t>
  </si>
  <si>
    <t>Date: 05/18/2026</t>
  </si>
  <si>
    <t>AM SHIFT FERNANDA &amp; AUTUMN</t>
  </si>
  <si>
    <t>Hugo Garcias</t>
  </si>
  <si>
    <t xml:space="preserve">Belonging still in room. </t>
  </si>
  <si>
    <t>Front desk</t>
  </si>
  <si>
    <t>11:45Am</t>
  </si>
  <si>
    <t>11:37Am</t>
  </si>
  <si>
    <t>Edgar</t>
  </si>
  <si>
    <t>ABG</t>
  </si>
  <si>
    <t>9:30A</t>
  </si>
  <si>
    <t>Hosea</t>
  </si>
  <si>
    <t>tried to contact guest, no answer so extend his stay. Room Extended</t>
  </si>
  <si>
    <t>olympic room</t>
  </si>
  <si>
    <t>3:35pm</t>
  </si>
  <si>
    <t xml:space="preserve">work order </t>
  </si>
  <si>
    <t>put in a work order for ac in olympic room</t>
  </si>
  <si>
    <t>n/a</t>
  </si>
  <si>
    <t>karla</t>
  </si>
  <si>
    <t>3:37pm</t>
  </si>
  <si>
    <t>4:47pm</t>
  </si>
  <si>
    <t>4:21pm</t>
  </si>
  <si>
    <t>Jose E Correa Hernandez</t>
  </si>
  <si>
    <t>"todo bien, Gracias"</t>
  </si>
  <si>
    <t>kz</t>
  </si>
  <si>
    <t>5:06pm</t>
  </si>
  <si>
    <t>5:02pm</t>
  </si>
  <si>
    <t>Dean Watkins</t>
  </si>
  <si>
    <t>"just fine, thank you"</t>
  </si>
  <si>
    <t>3:45pm</t>
  </si>
  <si>
    <t>4:00pm</t>
  </si>
  <si>
    <t>Santos Gabriel Uvay</t>
  </si>
  <si>
    <t>3:28pm</t>
  </si>
  <si>
    <t>3:40pm</t>
  </si>
  <si>
    <t>Adam Helmick</t>
  </si>
  <si>
    <t>"Great thanks!"</t>
  </si>
  <si>
    <t>8:30pm</t>
  </si>
  <si>
    <t>Ismael Rubio</t>
  </si>
  <si>
    <t>reservation had the wrong dates he had to call his 3rd party to make changes, 3rd party contacted us to approve.</t>
  </si>
  <si>
    <t>8:55pm</t>
  </si>
  <si>
    <t>was able to approve changes per Brodie, I was able to check in guest succesfully.</t>
  </si>
  <si>
    <t>8:35PM</t>
  </si>
  <si>
    <t>Elizabeth Warbuton</t>
  </si>
  <si>
    <t xml:space="preserve">Front Desk </t>
  </si>
  <si>
    <t>8:00PM</t>
  </si>
  <si>
    <t xml:space="preserve">Came to desk saying room was unclean and didn’t feel comfortable. Had security go verify and confirmed status of room. </t>
  </si>
  <si>
    <t>Room moved to 1207, put 1204 OOO. Guest was thankful for the move.</t>
  </si>
  <si>
    <t>Samantha</t>
  </si>
  <si>
    <t>guest felt unfortamble, room felt unclean</t>
  </si>
  <si>
    <t>TWQ</t>
  </si>
  <si>
    <t>Room Move</t>
  </si>
  <si>
    <t>3:11PM</t>
  </si>
  <si>
    <t>4:22PM</t>
  </si>
  <si>
    <t>Madison Bolton</t>
  </si>
  <si>
    <t>Phone Unplugged</t>
  </si>
  <si>
    <t>3:20PM</t>
  </si>
  <si>
    <t>4:23PM</t>
  </si>
  <si>
    <t>Joshua Forren</t>
  </si>
  <si>
    <t xml:space="preserve">Yes all good. </t>
  </si>
  <si>
    <t>Sandy Angle</t>
  </si>
  <si>
    <t>Yes everything all good thank you!</t>
  </si>
  <si>
    <t>4:08PM</t>
  </si>
  <si>
    <t>4:25PM</t>
  </si>
  <si>
    <t>Michael Norton</t>
  </si>
  <si>
    <t>Its great thank you so much!</t>
  </si>
  <si>
    <t>2:52PM</t>
  </si>
  <si>
    <t>Clint Cleaver</t>
  </si>
  <si>
    <t xml:space="preserve">No answer. </t>
  </si>
  <si>
    <t>3:24PM</t>
  </si>
  <si>
    <t>4:24PM</t>
  </si>
  <si>
    <t>Richard Vasquez</t>
  </si>
  <si>
    <t xml:space="preserve">Yes all is still good. </t>
  </si>
  <si>
    <t>Brayden Krueger</t>
  </si>
  <si>
    <t>Oh yeah its great!</t>
  </si>
  <si>
    <t>5:04PM</t>
  </si>
  <si>
    <t>5:15PM</t>
  </si>
  <si>
    <t>Ernesto Villafana</t>
  </si>
  <si>
    <t>Everythings fine thanks !</t>
  </si>
  <si>
    <t>5:22PM</t>
  </si>
  <si>
    <t>7:23PM</t>
  </si>
  <si>
    <t>Lane Fleming</t>
  </si>
  <si>
    <t>All is alright.(asked about channels)</t>
  </si>
  <si>
    <t>5:25PM</t>
  </si>
  <si>
    <t>Brandon Costa</t>
  </si>
  <si>
    <t xml:space="preserve">No complaints. </t>
  </si>
  <si>
    <t>5:28PM</t>
  </si>
  <si>
    <t>7:24PM</t>
  </si>
  <si>
    <t>Jaydn Anderson</t>
  </si>
  <si>
    <t>5:31PM</t>
  </si>
  <si>
    <t>Amanda Isom</t>
  </si>
  <si>
    <t>5:35PM</t>
  </si>
  <si>
    <t>7:25PM</t>
  </si>
  <si>
    <t>Dale Syth</t>
  </si>
  <si>
    <t>5:42PM</t>
  </si>
  <si>
    <t>7:26PM</t>
  </si>
  <si>
    <t>Canell Kyle</t>
  </si>
  <si>
    <t>Its fine thank you!</t>
  </si>
  <si>
    <t>5:50PM</t>
  </si>
  <si>
    <t>7:27PM</t>
  </si>
  <si>
    <t xml:space="preserve">Dana Brunson </t>
  </si>
  <si>
    <t>Its great!</t>
  </si>
  <si>
    <t>6:08PM</t>
  </si>
  <si>
    <t>Nicholas Kassuba</t>
  </si>
  <si>
    <t>Si aqui esta todo bien muchas gracias!</t>
  </si>
  <si>
    <t>Si todo bien gracias!</t>
  </si>
  <si>
    <t>6:25PM</t>
  </si>
  <si>
    <t>7:30PM</t>
  </si>
  <si>
    <t>Glenda Bowman</t>
  </si>
  <si>
    <t>Its pretty good.(asked for coffee pot)</t>
  </si>
  <si>
    <t>6:36PM</t>
  </si>
  <si>
    <t>7:31PM</t>
  </si>
  <si>
    <t>Larry Daniells</t>
  </si>
  <si>
    <t>The room is great thank you so much!</t>
  </si>
  <si>
    <t>6:58PM</t>
  </si>
  <si>
    <t>7:32PM</t>
  </si>
  <si>
    <t>Mason Cornish</t>
  </si>
  <si>
    <t>6:43PM</t>
  </si>
  <si>
    <t>Lance Rodenbough</t>
  </si>
  <si>
    <t xml:space="preserve">Yup all good thanks. </t>
  </si>
  <si>
    <t>SM</t>
  </si>
  <si>
    <t>Sean</t>
  </si>
  <si>
    <t>SL</t>
  </si>
  <si>
    <t>na</t>
  </si>
  <si>
    <t>8:00pm</t>
  </si>
  <si>
    <t>Adam Sambernn</t>
  </si>
  <si>
    <t>Guest called to fix reservation dates, turned out the whole reservation was cancelled by mistake</t>
  </si>
  <si>
    <t>I reinstated his reservation. No issues.</t>
  </si>
  <si>
    <t>front desk</t>
  </si>
  <si>
    <t>8:08pm</t>
  </si>
  <si>
    <t>Michael Angelier</t>
  </si>
  <si>
    <t>Jeremiah</t>
  </si>
  <si>
    <t>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</si>
</sst>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7" formatCode="&quot;$&quot;#,##0.00_);\(&quot;$&quot;#,##0.00\)"/>
    <numFmt numFmtId="8" formatCode="&quot;$&quot;#,##0.00_);[Red]\(&quot;$&quot;#,##0.00\)"/>
    <numFmt numFmtId="44" formatCode="_(&quot;$&quot;* #,##0.00_);_(&quot;$&quot;* \(#,##0.00\);_(&quot;$&quot;* &quot;-&quot;??_);_(@_)"/>
    <numFmt numFmtId="164" formatCode="mmmm\ d&quot;, &quot;yyyy"/>
    <numFmt numFmtId="165" formatCode="[$-F800]dddd\,\ mmmm\ dd\,\ yyyy"/>
    <numFmt numFmtId="166" formatCode="&quot;$&quot;#,##0.00"/>
    <numFmt numFmtId="167" formatCode="mmmm\ d\,\ yyyy"/>
    <numFmt numFmtId="168" formatCode="m\/d\/yyyy"/>
    <numFmt numFmtId="169" formatCode="m/d;@"/>
    <numFmt numFmtId="170" formatCode="0.0%"/>
    <numFmt numFmtId="171" formatCode="dddd"/>
    <numFmt numFmtId="172" formatCode="[$-409]d\-mmm;@"/>
    <numFmt numFmtId="173" formatCode="[$-409]h:mm\ AM/PM;@"/>
    <numFmt numFmtId="174" formatCode="[$-F400]h:mm:ss\ AM/PM"/>
  </numFmts>
  <fonts count="139">
    <font>
      <sz val="10"/>
      <name val="Arial"/>
    </font>
    <font>
      <b/>
      <sz val="12"/>
      <name val="Arial"/>
      <family val="2"/>
    </font>
    <font>
      <sz val="12"/>
      <name val="Arial"/>
      <family val="2"/>
    </font>
    <font>
      <b/>
      <sz val="10"/>
      <name val="Arial"/>
      <family val="2"/>
    </font>
    <font>
      <sz val="10"/>
      <name val="Arial"/>
      <family val="2"/>
    </font>
    <font>
      <sz val="8"/>
      <name val="Arial"/>
      <family val="2"/>
    </font>
    <font>
      <sz val="12"/>
      <name val="Helv"/>
    </font>
    <font>
      <b/>
      <i/>
      <u/>
      <sz val="10"/>
      <name val="Arial"/>
      <family val="2"/>
    </font>
    <font>
      <b/>
      <vertAlign val="subscript"/>
      <sz val="24"/>
      <name val="Arial"/>
      <family val="2"/>
    </font>
    <font>
      <vertAlign val="subscript"/>
      <sz val="24"/>
      <name val="Arial"/>
      <family val="2"/>
    </font>
    <font>
      <b/>
      <vertAlign val="subscript"/>
      <sz val="12"/>
      <name val="Arial"/>
      <family val="2"/>
    </font>
    <font>
      <vertAlign val="subscript"/>
      <sz val="14"/>
      <name val="Arial"/>
      <family val="2"/>
    </font>
    <font>
      <vertAlign val="subscript"/>
      <sz val="18"/>
      <name val="Arial"/>
      <family val="2"/>
    </font>
    <font>
      <b/>
      <vertAlign val="subscript"/>
      <sz val="18"/>
      <name val="Arial"/>
      <family val="2"/>
    </font>
    <font>
      <b/>
      <vertAlign val="subscript"/>
      <sz val="14"/>
      <name val="Arial"/>
      <family val="2"/>
    </font>
    <font>
      <vertAlign val="subscript"/>
      <sz val="12"/>
      <name val="Arial"/>
      <family val="2"/>
    </font>
    <font>
      <b/>
      <vertAlign val="subscript"/>
      <sz val="20"/>
      <name val="Arial"/>
      <family val="2"/>
    </font>
    <font>
      <b/>
      <vertAlign val="subscript"/>
      <sz val="22"/>
      <name val="Arial"/>
      <family val="2"/>
    </font>
    <font>
      <b/>
      <vertAlign val="subscript"/>
      <sz val="22"/>
      <color indexed="12"/>
      <name val="Arial"/>
      <family val="2"/>
    </font>
    <font>
      <b/>
      <vertAlign val="subscript"/>
      <sz val="22"/>
      <color indexed="10"/>
      <name val="Arial"/>
      <family val="2"/>
    </font>
    <font>
      <b/>
      <vertAlign val="subscript"/>
      <sz val="22"/>
      <color indexed="8"/>
      <name val="Arial"/>
      <family val="2"/>
    </font>
    <font>
      <vertAlign val="subscript"/>
      <sz val="22"/>
      <name val="Arial"/>
      <family val="2"/>
    </font>
    <font>
      <b/>
      <vertAlign val="subscript"/>
      <sz val="26"/>
      <color indexed="12"/>
      <name val="Arial"/>
      <family val="2"/>
    </font>
    <font>
      <vertAlign val="subscript"/>
      <sz val="26"/>
      <color indexed="12"/>
      <name val="Arial"/>
      <family val="2"/>
    </font>
    <font>
      <b/>
      <vertAlign val="subscript"/>
      <sz val="14"/>
      <color indexed="62"/>
      <name val="Arial"/>
      <family val="2"/>
    </font>
    <font>
      <b/>
      <vertAlign val="subscript"/>
      <sz val="26"/>
      <name val="Arial"/>
      <family val="2"/>
    </font>
    <font>
      <b/>
      <vertAlign val="subscript"/>
      <sz val="16"/>
      <name val="Arial"/>
      <family val="2"/>
    </font>
    <font>
      <b/>
      <vertAlign val="subscript"/>
      <sz val="28"/>
      <name val="Arial"/>
      <family val="2"/>
    </font>
    <font>
      <sz val="9"/>
      <name val="Arial"/>
      <family val="2"/>
    </font>
    <font>
      <sz val="18"/>
      <name val="Arial"/>
      <family val="2"/>
    </font>
    <font>
      <b/>
      <sz val="18"/>
      <name val="Arial"/>
      <family val="2"/>
    </font>
    <font>
      <b/>
      <sz val="16"/>
      <name val="Arial"/>
      <family val="2"/>
    </font>
    <font>
      <sz val="8"/>
      <color indexed="81"/>
      <name val="Tahoma"/>
      <family val="2"/>
    </font>
    <font>
      <b/>
      <sz val="8"/>
      <color indexed="81"/>
      <name val="Tahoma"/>
      <family val="2"/>
    </font>
    <font>
      <b/>
      <sz val="22"/>
      <color indexed="10"/>
      <name val="Arial"/>
      <family val="2"/>
    </font>
    <font>
      <sz val="22"/>
      <name val="Arial"/>
      <family val="2"/>
    </font>
    <font>
      <b/>
      <sz val="14"/>
      <name val="Arial"/>
      <family val="2"/>
    </font>
    <font>
      <sz val="14"/>
      <name val="Arial"/>
      <family val="2"/>
    </font>
    <font>
      <sz val="16"/>
      <name val="Arial"/>
      <family val="2"/>
    </font>
    <font>
      <sz val="14"/>
      <name val="Arial"/>
      <family val="2"/>
    </font>
    <font>
      <sz val="10"/>
      <name val="Arial"/>
      <family val="2"/>
    </font>
    <font>
      <sz val="10"/>
      <name val="Arial"/>
      <family val="2"/>
    </font>
    <font>
      <sz val="13"/>
      <name val="Arial"/>
      <family val="2"/>
    </font>
    <font>
      <b/>
      <sz val="13"/>
      <name val="Arial"/>
      <family val="2"/>
    </font>
    <font>
      <i/>
      <sz val="14"/>
      <name val="Arial"/>
      <family val="2"/>
    </font>
    <font>
      <b/>
      <vertAlign val="subscript"/>
      <sz val="22"/>
      <color indexed="8"/>
      <name val="Arial Unicode MS"/>
      <family val="2"/>
    </font>
    <font>
      <b/>
      <vertAlign val="subscript"/>
      <sz val="22"/>
      <name val="Arial Unicode MS"/>
      <family val="2"/>
    </font>
    <font>
      <b/>
      <vertAlign val="subscript"/>
      <sz val="26"/>
      <color indexed="10"/>
      <name val="Arial Unicode MS"/>
      <family val="2"/>
    </font>
    <font>
      <b/>
      <vertAlign val="subscript"/>
      <sz val="26"/>
      <color indexed="12"/>
      <name val="Arial Unicode MS"/>
      <family val="2"/>
    </font>
    <font>
      <b/>
      <vertAlign val="subscript"/>
      <sz val="20"/>
      <color indexed="10"/>
      <name val="Arial Unicode MS"/>
      <family val="2"/>
    </font>
    <font>
      <b/>
      <sz val="14"/>
      <name val="Arial Black"/>
      <family val="2"/>
    </font>
    <font>
      <b/>
      <vertAlign val="subscript"/>
      <sz val="36"/>
      <color indexed="10"/>
      <name val="Arial"/>
      <family val="2"/>
    </font>
    <font>
      <b/>
      <sz val="14"/>
      <name val="Arial Narrow"/>
      <family val="2"/>
    </font>
    <font>
      <sz val="11"/>
      <name val="Calibri"/>
      <family val="2"/>
    </font>
    <font>
      <sz val="8.0500000000000007"/>
      <color indexed="8"/>
      <name val="Arial"/>
      <family val="2"/>
    </font>
    <font>
      <b/>
      <sz val="11"/>
      <color rgb="FFFA7D00"/>
      <name val="Calibri"/>
      <family val="2"/>
      <scheme val="minor"/>
    </font>
    <font>
      <u/>
      <sz val="10"/>
      <color theme="10"/>
      <name val="Arial"/>
      <family val="2"/>
    </font>
    <font>
      <sz val="10"/>
      <color theme="1"/>
      <name val="Arial"/>
      <family val="2"/>
    </font>
    <font>
      <b/>
      <sz val="14"/>
      <color rgb="FF0070C0"/>
      <name val="Arial"/>
      <family val="2"/>
    </font>
    <font>
      <sz val="16"/>
      <color theme="1"/>
      <name val="Arial"/>
      <family val="2"/>
    </font>
    <font>
      <b/>
      <sz val="16"/>
      <color rgb="FFC00000"/>
      <name val="Cambria"/>
      <family val="1"/>
      <scheme val="major"/>
    </font>
    <font>
      <b/>
      <sz val="14"/>
      <color rgb="FF0066FF"/>
      <name val="Arial"/>
      <family val="2"/>
    </font>
    <font>
      <b/>
      <sz val="12"/>
      <color rgb="FF002060"/>
      <name val="Arial"/>
      <family val="2"/>
    </font>
    <font>
      <b/>
      <vertAlign val="subscript"/>
      <sz val="26"/>
      <color rgb="FFFF0000"/>
      <name val="Arial Unicode MS"/>
      <family val="2"/>
    </font>
    <font>
      <b/>
      <vertAlign val="subscript"/>
      <sz val="26"/>
      <color rgb="FFFF0000"/>
      <name val="Arial"/>
      <family val="2"/>
    </font>
    <font>
      <b/>
      <sz val="14"/>
      <color rgb="FFFF0000"/>
      <name val="Arial"/>
      <family val="2"/>
    </font>
    <font>
      <b/>
      <vertAlign val="subscript"/>
      <sz val="28"/>
      <color rgb="FFFF0000"/>
      <name val="Arial"/>
      <family val="2"/>
    </font>
    <font>
      <b/>
      <vertAlign val="subscript"/>
      <sz val="28"/>
      <color rgb="FF0066FF"/>
      <name val="Arial"/>
      <family val="2"/>
    </font>
    <font>
      <b/>
      <vertAlign val="subscript"/>
      <sz val="26"/>
      <color rgb="FFC00000"/>
      <name val="Book Antiqua"/>
      <family val="1"/>
    </font>
    <font>
      <b/>
      <sz val="14"/>
      <color rgb="FFFF0000"/>
      <name val="Arial Black"/>
      <family val="2"/>
    </font>
    <font>
      <b/>
      <vertAlign val="subscript"/>
      <sz val="22"/>
      <color rgb="FFFF0000"/>
      <name val="Arial Unicode MS"/>
      <family val="2"/>
    </font>
    <font>
      <b/>
      <sz val="9"/>
      <name val="Calibri"/>
      <family val="2"/>
      <scheme val="minor"/>
    </font>
    <font>
      <i/>
      <sz val="11"/>
      <color rgb="FFFF0000"/>
      <name val="Calibri"/>
      <family val="2"/>
      <scheme val="minor"/>
    </font>
    <font>
      <sz val="24"/>
      <color theme="3"/>
      <name val="Century Gothic"/>
      <family val="2"/>
    </font>
    <font>
      <b/>
      <sz val="18"/>
      <color rgb="FFFF0000"/>
      <name val="Cambria"/>
      <family val="1"/>
      <scheme val="major"/>
    </font>
    <font>
      <b/>
      <sz val="24"/>
      <color rgb="FFFF0000"/>
      <name val="Century Gothic"/>
      <family val="2"/>
    </font>
    <font>
      <b/>
      <i/>
      <u/>
      <sz val="12"/>
      <color theme="5" tint="-0.499984740745262"/>
      <name val="Arial Narrow"/>
      <family val="2"/>
    </font>
    <font>
      <b/>
      <i/>
      <u/>
      <sz val="11"/>
      <color theme="5" tint="-0.499984740745262"/>
      <name val="Arial Narrow"/>
      <family val="2"/>
    </font>
    <font>
      <b/>
      <i/>
      <sz val="10"/>
      <color theme="5" tint="-0.499984740745262"/>
      <name val="Calibri"/>
      <family val="2"/>
      <scheme val="minor"/>
    </font>
    <font>
      <b/>
      <i/>
      <sz val="10"/>
      <color theme="5" tint="-0.499984740745262"/>
      <name val="Calibri"/>
      <family val="2"/>
    </font>
    <font>
      <b/>
      <sz val="11"/>
      <color theme="5" tint="-0.499984740745262"/>
      <name val="Calibri"/>
      <family val="2"/>
    </font>
    <font>
      <b/>
      <i/>
      <sz val="9"/>
      <color theme="5" tint="-0.499984740745262"/>
      <name val="Calibri"/>
      <family val="2"/>
      <scheme val="minor"/>
    </font>
    <font>
      <b/>
      <sz val="11"/>
      <color theme="5" tint="-0.499984740745262"/>
      <name val="Calibri"/>
      <family val="2"/>
      <scheme val="minor"/>
    </font>
    <font>
      <b/>
      <i/>
      <sz val="14"/>
      <color theme="5" tint="-0.499984740745262"/>
      <name val="Arial Narrow"/>
      <family val="2"/>
    </font>
    <font>
      <i/>
      <sz val="12"/>
      <color theme="5" tint="-0.499984740745262"/>
      <name val="Calibri"/>
      <family val="2"/>
      <scheme val="minor"/>
    </font>
    <font>
      <b/>
      <sz val="9"/>
      <color theme="5" tint="-0.499984740745262"/>
      <name val="Calibri"/>
      <family val="2"/>
      <scheme val="minor"/>
    </font>
    <font>
      <i/>
      <sz val="11"/>
      <color theme="5" tint="-0.499984740745262"/>
      <name val="Calibri"/>
      <family val="2"/>
      <scheme val="minor"/>
    </font>
    <font>
      <b/>
      <i/>
      <sz val="10"/>
      <color theme="5" tint="-0.499984740745262"/>
      <name val="Arial Narrow"/>
      <family val="2"/>
    </font>
    <font>
      <b/>
      <i/>
      <u/>
      <sz val="14"/>
      <color theme="5" tint="-0.499984740745262"/>
      <name val="Arial Narrow"/>
      <family val="2"/>
    </font>
    <font>
      <sz val="10"/>
      <color theme="5" tint="-0.499984740745262"/>
      <name val="Arial"/>
      <family val="2"/>
    </font>
    <font>
      <b/>
      <sz val="8"/>
      <color theme="5" tint="-0.499984740745262"/>
      <name val="Calibri"/>
      <family val="2"/>
      <scheme val="minor"/>
    </font>
    <font>
      <i/>
      <sz val="10"/>
      <color theme="5" tint="-0.499984740745262"/>
      <name val="Arial"/>
      <family val="2"/>
    </font>
    <font>
      <sz val="10"/>
      <color rgb="FFC00000"/>
      <name val="Arial"/>
      <family val="2"/>
    </font>
    <font>
      <b/>
      <i/>
      <sz val="10"/>
      <color rgb="FFC00000"/>
      <name val="Arial Narrow"/>
      <family val="2"/>
    </font>
    <font>
      <b/>
      <sz val="10"/>
      <color theme="1"/>
      <name val="Arial"/>
      <family val="2"/>
    </font>
    <font>
      <b/>
      <sz val="10"/>
      <color theme="1"/>
      <name val="Arial Narrow"/>
      <family val="2"/>
    </font>
    <font>
      <b/>
      <sz val="12"/>
      <color theme="5" tint="-0.499984740745262"/>
      <name val="Arial"/>
      <family val="2"/>
    </font>
    <font>
      <b/>
      <sz val="9"/>
      <color theme="5" tint="-0.499984740745262"/>
      <name val="Arial"/>
      <family val="2"/>
    </font>
    <font>
      <b/>
      <sz val="9"/>
      <color theme="5" tint="-0.499984740745262"/>
      <name val="Arial Black"/>
      <family val="2"/>
    </font>
    <font>
      <sz val="11"/>
      <color theme="5" tint="-0.499984740745262"/>
      <name val="Calibri"/>
      <family val="2"/>
    </font>
    <font>
      <b/>
      <sz val="16"/>
      <color theme="5" tint="-0.499984740745262"/>
      <name val="Cambria"/>
      <family val="1"/>
    </font>
    <font>
      <b/>
      <sz val="11"/>
      <color theme="5" tint="-0.499984740745262"/>
      <name val="Arial"/>
      <family val="2"/>
    </font>
    <font>
      <sz val="12"/>
      <color theme="5" tint="-0.499984740745262"/>
      <name val="Helv"/>
    </font>
    <font>
      <sz val="9"/>
      <color theme="5" tint="-0.499984740745262"/>
      <name val="Arial"/>
      <family val="2"/>
    </font>
    <font>
      <b/>
      <i/>
      <sz val="12"/>
      <color theme="1"/>
      <name val="Arial"/>
      <family val="2"/>
    </font>
    <font>
      <b/>
      <sz val="10"/>
      <color theme="5" tint="-0.499984740745262"/>
      <name val="Arial"/>
      <family val="2"/>
    </font>
    <font>
      <sz val="8.0500000000000007"/>
      <color theme="5" tint="-0.499984740745262"/>
      <name val="Arial"/>
      <family val="2"/>
    </font>
    <font>
      <b/>
      <sz val="24"/>
      <color theme="5" tint="-0.499984740745262"/>
      <name val="Century Gothic"/>
      <family val="2"/>
    </font>
    <font>
      <sz val="20"/>
      <color theme="5" tint="-0.499984740745262"/>
      <name val="Arial"/>
      <family val="2"/>
    </font>
    <font>
      <b/>
      <sz val="24"/>
      <color theme="5" tint="-0.499984740745262"/>
      <name val="Arial"/>
      <family val="2"/>
    </font>
    <font>
      <b/>
      <sz val="22"/>
      <color theme="5" tint="-0.499984740745262"/>
      <name val="Arial"/>
      <family val="2"/>
    </font>
    <font>
      <sz val="22"/>
      <color theme="5" tint="-0.499984740745262"/>
      <name val="Calibri"/>
      <family val="2"/>
      <scheme val="minor"/>
    </font>
    <font>
      <sz val="18"/>
      <color theme="5" tint="-0.499984740745262"/>
      <name val="Calibri"/>
      <family val="2"/>
      <scheme val="minor"/>
    </font>
    <font>
      <sz val="11"/>
      <color rgb="FF9C0006"/>
      <name val="Calibri"/>
      <family val="2"/>
      <scheme val="minor"/>
    </font>
    <font>
      <b/>
      <sz val="14"/>
      <color rgb="FF9C0006"/>
      <name val="Calibri"/>
      <family val="2"/>
      <scheme val="minor"/>
    </font>
    <font>
      <sz val="10"/>
      <color theme="0"/>
      <name val="Arial"/>
      <family val="2"/>
    </font>
    <font>
      <sz val="22"/>
      <color theme="1"/>
      <name val="Calibri"/>
      <family val="2"/>
      <scheme val="minor"/>
    </font>
    <font>
      <sz val="22"/>
      <name val="Calibri"/>
      <family val="2"/>
      <scheme val="minor"/>
    </font>
    <font>
      <sz val="24"/>
      <color theme="1"/>
      <name val="Calibri"/>
      <family val="2"/>
      <scheme val="minor"/>
    </font>
    <font>
      <b/>
      <i/>
      <sz val="12"/>
      <color theme="1"/>
      <name val="Arial Narrow"/>
      <family val="2"/>
    </font>
    <font>
      <b/>
      <i/>
      <sz val="10"/>
      <name val="Calibri"/>
      <family val="2"/>
      <scheme val="minor"/>
    </font>
    <font>
      <b/>
      <i/>
      <sz val="9"/>
      <color rgb="FFFF0000"/>
      <name val="Arial Narrow"/>
      <family val="2"/>
    </font>
    <font>
      <b/>
      <sz val="10"/>
      <name val="Calibri"/>
      <family val="2"/>
      <scheme val="minor"/>
    </font>
    <font>
      <sz val="18"/>
      <color theme="5" tint="-0.499984740745262"/>
      <name val="Calibri"/>
      <family val="2"/>
      <scheme val="minor"/>
    </font>
    <font>
      <sz val="18"/>
      <name val="Calibri"/>
      <family val="2"/>
      <scheme val="minor"/>
    </font>
    <font>
      <b/>
      <sz val="8"/>
      <name val="Calibri"/>
      <family val="2"/>
      <scheme val="minor"/>
    </font>
    <font>
      <b/>
      <sz val="9"/>
      <name val="Arial"/>
      <family val="2"/>
    </font>
    <font>
      <sz val="8.0500000000000007"/>
      <name val="Arial"/>
      <family val="2"/>
    </font>
    <font>
      <sz val="12"/>
      <name val="Calibri"/>
      <family val="2"/>
      <scheme val="minor"/>
    </font>
    <font>
      <sz val="22"/>
      <color rgb="FF002060"/>
      <name val="Calibri"/>
      <family val="2"/>
      <scheme val="minor"/>
    </font>
    <font>
      <sz val="18"/>
      <color rgb="FF002060"/>
      <name val="Calibri"/>
      <family val="2"/>
      <scheme val="minor"/>
    </font>
    <font>
      <b/>
      <sz val="10"/>
      <color theme="5" tint="-0.499984740745262"/>
      <name val="Calibri"/>
      <family val="2"/>
    </font>
    <font>
      <b/>
      <sz val="14"/>
      <color rgb="FFC00000"/>
      <name val="Century Gothic"/>
      <family val="2"/>
    </font>
    <font>
      <sz val="16"/>
      <color rgb="FFFFFFFF"/>
      <name val="Calibri"/>
      <family val="2"/>
    </font>
    <font>
      <b/>
      <sz val="11"/>
      <color rgb="FFFFFFFF"/>
      <name val="Calibri"/>
      <family val="2"/>
    </font>
    <font>
      <sz val="11"/>
      <color rgb="FF000000"/>
      <name val="Calibri"/>
      <family val="2"/>
    </font>
    <font>
      <b/>
      <sz val="10"/>
      <color rgb="FFC00000"/>
      <name val="Arial Narrow"/>
      <family val="2"/>
    </font>
    <font>
      <sz val="20"/>
      <color theme="5" tint="-0.499984740745262"/>
      <name val="Calibri"/>
      <family val="2"/>
      <scheme val="minor"/>
    </font>
    <font>
      <b/>
      <sz val="11"/>
      <color theme="1"/>
      <name val="Calibri"/>
      <family val="2"/>
    </font>
  </fonts>
  <fills count="25">
    <fill>
      <patternFill patternType="none"/>
    </fill>
    <fill>
      <patternFill patternType="gray125"/>
    </fill>
    <fill>
      <patternFill patternType="solid">
        <fgColor indexed="44"/>
        <bgColor indexed="64"/>
      </patternFill>
    </fill>
    <fill>
      <patternFill patternType="solid">
        <fgColor rgb="FFF2F2F2"/>
      </patternFill>
    </fill>
    <fill>
      <patternFill patternType="solid">
        <fgColor theme="3"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bgColor indexed="64"/>
      </patternFill>
    </fill>
    <fill>
      <patternFill patternType="solid">
        <fgColor rgb="FF99CCFF"/>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FFFF66"/>
        <bgColor indexed="64"/>
      </patternFill>
    </fill>
    <fill>
      <patternFill patternType="solid">
        <fgColor theme="5" tint="0.59999389629810485"/>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C7CE"/>
      </patternFill>
    </fill>
    <fill>
      <patternFill patternType="solid">
        <fgColor theme="4" tint="0.79998168889431442"/>
        <bgColor indexed="64"/>
      </patternFill>
    </fill>
    <fill>
      <patternFill patternType="solid">
        <fgColor theme="0" tint="-0.14999847407452621"/>
        <bgColor theme="4" tint="0.79998168889431442"/>
      </patternFill>
    </fill>
    <fill>
      <patternFill patternType="solid">
        <fgColor rgb="FF375623"/>
        <bgColor rgb="FF000000"/>
      </patternFill>
    </fill>
    <fill>
      <patternFill patternType="solid">
        <fgColor rgb="FF548235"/>
        <bgColor rgb="FF000000"/>
      </patternFill>
    </fill>
    <fill>
      <patternFill patternType="solid">
        <fgColor rgb="FF336600"/>
        <bgColor indexed="64"/>
      </patternFill>
    </fill>
    <fill>
      <patternFill patternType="solid">
        <fgColor theme="3" tint="0.39997558519241921"/>
        <bgColor rgb="FF000000"/>
      </patternFill>
    </fill>
    <fill>
      <patternFill patternType="solid">
        <fgColor theme="3" tint="0.39997558519241921"/>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23"/>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23"/>
      </right>
      <top style="thin">
        <color indexed="64"/>
      </top>
      <bottom style="double">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style="thin">
        <color indexed="64"/>
      </right>
      <top style="medium">
        <color indexed="64"/>
      </top>
      <bottom style="thin">
        <color indexed="64"/>
      </bottom>
      <diagonal/>
    </border>
    <border>
      <left/>
      <right style="thin">
        <color indexed="8"/>
      </right>
      <top style="double">
        <color indexed="8"/>
      </top>
      <bottom style="double">
        <color indexed="8"/>
      </bottom>
      <diagonal/>
    </border>
    <border>
      <left style="double">
        <color indexed="64"/>
      </left>
      <right/>
      <top/>
      <bottom style="medium">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double">
        <color indexed="8"/>
      </top>
      <bottom style="double">
        <color indexed="8"/>
      </bottom>
      <diagonal/>
    </border>
    <border>
      <left style="thin">
        <color indexed="8"/>
      </left>
      <right/>
      <top style="double">
        <color indexed="8"/>
      </top>
      <bottom style="double">
        <color indexed="8"/>
      </bottom>
      <diagonal/>
    </border>
    <border>
      <left style="thin">
        <color indexed="8"/>
      </left>
      <right style="double">
        <color indexed="8"/>
      </right>
      <top style="double">
        <color indexed="8"/>
      </top>
      <bottom style="double">
        <color indexed="8"/>
      </bottom>
      <diagonal/>
    </border>
    <border>
      <left style="double">
        <color indexed="8"/>
      </left>
      <right style="double">
        <color indexed="8"/>
      </right>
      <top style="double">
        <color indexed="8"/>
      </top>
      <bottom style="double">
        <color indexed="8"/>
      </bottom>
      <diagonal/>
    </border>
    <border>
      <left style="double">
        <color indexed="8"/>
      </left>
      <right/>
      <top style="double">
        <color indexed="8"/>
      </top>
      <bottom style="double">
        <color indexed="8"/>
      </bottom>
      <diagonal/>
    </border>
    <border>
      <left/>
      <right style="double">
        <color indexed="8"/>
      </right>
      <top style="double">
        <color indexed="8"/>
      </top>
      <bottom style="double">
        <color indexed="8"/>
      </bottom>
      <diagonal/>
    </border>
    <border>
      <left style="double">
        <color indexed="64"/>
      </left>
      <right style="double">
        <color indexed="64"/>
      </right>
      <top style="double">
        <color indexed="64"/>
      </top>
      <bottom style="double">
        <color indexed="64"/>
      </bottom>
      <diagonal/>
    </border>
    <border>
      <left/>
      <right/>
      <top/>
      <bottom style="medium">
        <color indexed="64"/>
      </bottom>
      <diagonal/>
    </border>
    <border>
      <left/>
      <right style="double">
        <color indexed="64"/>
      </right>
      <top style="double">
        <color indexed="64"/>
      </top>
      <bottom style="thin">
        <color indexed="64"/>
      </bottom>
      <diagonal/>
    </border>
    <border>
      <left/>
      <right style="double">
        <color indexed="64"/>
      </right>
      <top style="thin">
        <color indexed="64"/>
      </top>
      <bottom/>
      <diagonal/>
    </border>
    <border>
      <left style="double">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8"/>
      </left>
      <right style="thin">
        <color indexed="8"/>
      </right>
      <top style="thin">
        <color indexed="8"/>
      </top>
      <bottom style="double">
        <color indexed="8"/>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style="thin">
        <color indexed="8"/>
      </right>
      <top style="thin">
        <color indexed="8"/>
      </top>
      <bottom style="double">
        <color indexed="8"/>
      </bottom>
      <diagonal/>
    </border>
    <border>
      <left style="double">
        <color indexed="8"/>
      </left>
      <right style="thick">
        <color indexed="8"/>
      </right>
      <top style="double">
        <color indexed="8"/>
      </top>
      <bottom style="double">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medium">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diagonal/>
    </border>
    <border>
      <left style="double">
        <color indexed="64"/>
      </left>
      <right style="thick">
        <color indexed="8"/>
      </right>
      <top style="thin">
        <color indexed="64"/>
      </top>
      <bottom style="thin">
        <color indexed="64"/>
      </bottom>
      <diagonal/>
    </border>
    <border>
      <left style="double">
        <color indexed="64"/>
      </left>
      <right style="thick">
        <color indexed="8"/>
      </right>
      <top style="thin">
        <color indexed="64"/>
      </top>
      <bottom/>
      <diagonal/>
    </border>
    <border>
      <left style="double">
        <color indexed="64"/>
      </left>
      <right style="thick">
        <color indexed="8"/>
      </right>
      <top style="thin">
        <color indexed="64"/>
      </top>
      <bottom style="double">
        <color indexed="64"/>
      </bottom>
      <diagonal/>
    </border>
    <border>
      <left style="double">
        <color indexed="8"/>
      </left>
      <right style="thick">
        <color indexed="8"/>
      </right>
      <top style="thin">
        <color indexed="8"/>
      </top>
      <bottom style="thin">
        <color indexed="8"/>
      </bottom>
      <diagonal/>
    </border>
    <border>
      <left style="double">
        <color indexed="8"/>
      </left>
      <right style="thick">
        <color indexed="8"/>
      </right>
      <top style="thin">
        <color indexed="8"/>
      </top>
      <bottom style="double">
        <color indexed="8"/>
      </bottom>
      <diagonal/>
    </border>
    <border>
      <left style="thin">
        <color indexed="64"/>
      </left>
      <right style="double">
        <color indexed="64"/>
      </right>
      <top style="thin">
        <color indexed="64"/>
      </top>
      <bottom style="thin">
        <color indexed="64"/>
      </bottom>
      <diagonal/>
    </border>
    <border>
      <left style="thin">
        <color indexed="8"/>
      </left>
      <right style="double">
        <color indexed="8"/>
      </right>
      <top style="thin">
        <color indexed="8"/>
      </top>
      <bottom style="thin">
        <color indexed="8"/>
      </bottom>
      <diagonal/>
    </border>
    <border>
      <left style="thin">
        <color indexed="8"/>
      </left>
      <right style="double">
        <color indexed="8"/>
      </right>
      <top style="thin">
        <color indexed="8"/>
      </top>
      <bottom style="double">
        <color indexed="8"/>
      </bottom>
      <diagonal/>
    </border>
    <border>
      <left style="double">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ck">
        <color indexed="64"/>
      </bottom>
      <diagonal/>
    </border>
    <border>
      <left style="thin">
        <color indexed="64"/>
      </left>
      <right style="thin">
        <color indexed="64"/>
      </right>
      <top/>
      <bottom/>
      <diagonal/>
    </border>
    <border>
      <left style="double">
        <color indexed="64"/>
      </left>
      <right/>
      <top/>
      <bottom style="double">
        <color indexed="64"/>
      </bottom>
      <diagonal/>
    </border>
    <border>
      <left style="double">
        <color indexed="64"/>
      </left>
      <right style="double">
        <color indexed="64"/>
      </right>
      <top style="medium">
        <color indexed="64"/>
      </top>
      <bottom/>
      <diagonal/>
    </border>
    <border>
      <left/>
      <right style="medium">
        <color indexed="64"/>
      </right>
      <top style="medium">
        <color indexed="64"/>
      </top>
      <bottom style="medium">
        <color indexed="64"/>
      </bottom>
      <diagonal/>
    </border>
    <border>
      <left style="double">
        <color indexed="64"/>
      </left>
      <right style="double">
        <color indexed="64"/>
      </right>
      <top/>
      <bottom style="medium">
        <color indexed="64"/>
      </bottom>
      <diagonal/>
    </border>
    <border>
      <left style="double">
        <color indexed="64"/>
      </left>
      <right/>
      <top style="double">
        <color indexed="64"/>
      </top>
      <bottom style="medium">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right style="thin">
        <color indexed="64"/>
      </right>
      <top/>
      <bottom style="thick">
        <color indexed="64"/>
      </bottom>
      <diagonal/>
    </border>
    <border>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top style="thin">
        <color indexed="64"/>
      </top>
      <bottom style="thin">
        <color indexed="64"/>
      </bottom>
      <diagonal/>
    </border>
    <border>
      <left style="double">
        <color indexed="64"/>
      </left>
      <right style="double">
        <color indexed="64"/>
      </right>
      <top/>
      <bottom/>
      <diagonal/>
    </border>
    <border>
      <left style="thin">
        <color indexed="64"/>
      </left>
      <right/>
      <top/>
      <bottom style="thick">
        <color indexed="64"/>
      </bottom>
      <diagonal/>
    </border>
    <border>
      <left style="thin">
        <color indexed="64"/>
      </left>
      <right/>
      <top/>
      <bottom/>
      <diagonal/>
    </border>
    <border>
      <left style="double">
        <color indexed="64"/>
      </left>
      <right/>
      <top style="thin">
        <color indexed="64"/>
      </top>
      <bottom/>
      <diagonal/>
    </border>
    <border>
      <left/>
      <right/>
      <top style="thin">
        <color indexed="64"/>
      </top>
      <bottom/>
      <diagonal/>
    </border>
    <border>
      <left/>
      <right style="double">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diagonal/>
    </border>
    <border>
      <left style="thin">
        <color indexed="64"/>
      </left>
      <right/>
      <top style="double">
        <color indexed="64"/>
      </top>
      <bottom style="thin">
        <color indexed="64"/>
      </bottom>
      <diagonal/>
    </border>
    <border>
      <left/>
      <right/>
      <top/>
      <bottom style="double">
        <color indexed="8"/>
      </bottom>
      <diagonal/>
    </border>
    <border>
      <left style="thin">
        <color rgb="FF7F7F7F"/>
      </left>
      <right style="thin">
        <color rgb="FF7F7F7F"/>
      </right>
      <top style="thin">
        <color rgb="FF7F7F7F"/>
      </top>
      <bottom style="thin">
        <color rgb="FF7F7F7F"/>
      </bottom>
      <diagonal/>
    </border>
    <border>
      <left/>
      <right style="thin">
        <color indexed="64"/>
      </right>
      <top style="medium">
        <color indexed="64"/>
      </top>
      <bottom style="thin">
        <color indexed="64"/>
      </bottom>
      <diagonal/>
    </border>
    <border>
      <left style="double">
        <color indexed="64"/>
      </left>
      <right style="double">
        <color indexed="64"/>
      </right>
      <top style="double">
        <color indexed="64"/>
      </top>
      <bottom style="medium">
        <color indexed="64"/>
      </bottom>
      <diagonal/>
    </border>
    <border>
      <left/>
      <right style="double">
        <color indexed="64"/>
      </right>
      <top style="medium">
        <color indexed="64"/>
      </top>
      <bottom/>
      <diagonal/>
    </border>
    <border>
      <left style="double">
        <color indexed="64"/>
      </left>
      <right style="double">
        <color indexed="64"/>
      </right>
      <top style="thin">
        <color indexed="64"/>
      </top>
      <bottom/>
      <diagonal/>
    </border>
    <border>
      <left style="double">
        <color indexed="64"/>
      </left>
      <right/>
      <top style="thin">
        <color indexed="64"/>
      </top>
      <bottom style="thick">
        <color indexed="64"/>
      </bottom>
      <diagonal/>
    </border>
    <border>
      <left/>
      <right style="thin">
        <color indexed="64"/>
      </right>
      <top style="thin">
        <color indexed="64"/>
      </top>
      <bottom style="thick">
        <color indexed="64"/>
      </bottom>
      <diagonal/>
    </border>
    <border>
      <left style="double">
        <color indexed="64"/>
      </left>
      <right/>
      <top style="medium">
        <color indexed="64"/>
      </top>
      <bottom style="thin">
        <color indexed="64"/>
      </bottom>
      <diagonal/>
    </border>
    <border>
      <left style="double">
        <color indexed="64"/>
      </left>
      <right/>
      <top style="thick">
        <color indexed="64"/>
      </top>
      <bottom style="double">
        <color indexed="64"/>
      </bottom>
      <diagonal/>
    </border>
    <border>
      <left/>
      <right/>
      <top style="thick">
        <color indexed="64"/>
      </top>
      <bottom style="double">
        <color indexed="64"/>
      </bottom>
      <diagonal/>
    </border>
    <border>
      <left/>
      <right style="medium">
        <color indexed="64"/>
      </right>
      <top style="thick">
        <color indexed="64"/>
      </top>
      <bottom style="double">
        <color indexed="64"/>
      </bottom>
      <diagonal/>
    </border>
    <border>
      <left style="medium">
        <color indexed="64"/>
      </left>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bottom/>
      <diagonal/>
    </border>
  </borders>
  <cellStyleXfs count="8">
    <xf numFmtId="0" fontId="0" fillId="0" borderId="0" applyBorder="0"/>
    <xf numFmtId="0" fontId="55" fillId="3" borderId="104" applyNumberFormat="0" applyAlignment="0" applyProtection="0"/>
    <xf numFmtId="44" fontId="40" fillId="0" borderId="0" applyFont="0" applyFill="0" applyBorder="0" applyAlignment="0" applyProtection="0"/>
    <xf numFmtId="0" fontId="56" fillId="0" borderId="0" applyNumberFormat="0" applyFill="0" applyBorder="0" applyAlignment="0" applyProtection="0">
      <alignment vertical="top"/>
      <protection locked="0"/>
    </xf>
    <xf numFmtId="0" fontId="41" fillId="0" borderId="0"/>
    <xf numFmtId="0" fontId="6" fillId="0" borderId="0"/>
    <xf numFmtId="9" fontId="41" fillId="0" borderId="0" applyFont="0" applyFill="0" applyBorder="0" applyAlignment="0" applyProtection="0"/>
    <xf numFmtId="0" fontId="113" fillId="17" borderId="0" applyNumberFormat="0" applyBorder="0" applyAlignment="0" applyProtection="0"/>
  </cellStyleXfs>
  <cellXfs count="586">
    <xf numFmtId="0" fontId="0" fillId="0" borderId="0" xfId="0"/>
    <xf numFmtId="0" fontId="3" fillId="0" borderId="0" xfId="0" applyFont="1" applyProtection="1">
      <protection locked="0"/>
    </xf>
    <xf numFmtId="0" fontId="4" fillId="0" borderId="0" xfId="0" applyFont="1" applyProtection="1">
      <protection locked="0"/>
    </xf>
    <xf numFmtId="0" fontId="0" fillId="0" borderId="0" xfId="0" applyBorder="1"/>
    <xf numFmtId="0" fontId="4" fillId="0" borderId="0" xfId="5" applyFont="1" applyAlignment="1" applyProtection="1">
      <alignment horizontal="left"/>
      <protection locked="0"/>
    </xf>
    <xf numFmtId="0" fontId="4" fillId="0" borderId="0" xfId="5" applyFont="1" applyProtection="1">
      <protection locked="0"/>
    </xf>
    <xf numFmtId="14" fontId="4" fillId="0" borderId="0" xfId="5" applyNumberFormat="1" applyFont="1" applyAlignment="1" applyProtection="1">
      <alignment horizontal="right"/>
      <protection locked="0"/>
    </xf>
    <xf numFmtId="0" fontId="7" fillId="0" borderId="0" xfId="0" applyFont="1" applyProtection="1">
      <protection locked="0"/>
    </xf>
    <xf numFmtId="0" fontId="4" fillId="0" borderId="0" xfId="0" applyFont="1" applyAlignment="1" applyProtection="1">
      <alignment horizontal="right"/>
      <protection locked="0"/>
    </xf>
    <xf numFmtId="0" fontId="4" fillId="0" borderId="0" xfId="0" applyFont="1" applyAlignment="1" applyProtection="1">
      <alignment horizontal="left"/>
      <protection locked="0"/>
    </xf>
    <xf numFmtId="0" fontId="2" fillId="0" borderId="0" xfId="5" applyFont="1" applyProtection="1">
      <protection locked="0"/>
    </xf>
    <xf numFmtId="0" fontId="2" fillId="0" borderId="0" xfId="0" applyFont="1" applyAlignment="1" applyProtection="1">
      <alignment horizontal="right"/>
      <protection locked="0"/>
    </xf>
    <xf numFmtId="0" fontId="2" fillId="0" borderId="0" xfId="5" applyFont="1" applyAlignment="1" applyProtection="1">
      <alignment horizontal="left"/>
      <protection locked="0"/>
    </xf>
    <xf numFmtId="0" fontId="8" fillId="0" borderId="0" xfId="0" applyFont="1" applyProtection="1">
      <protection locked="0"/>
    </xf>
    <xf numFmtId="0" fontId="8" fillId="0" borderId="0" xfId="0" applyFont="1" applyAlignment="1" applyProtection="1">
      <alignment horizontal="left"/>
      <protection locked="0"/>
    </xf>
    <xf numFmtId="0" fontId="9" fillId="0" borderId="0" xfId="0" applyFont="1"/>
    <xf numFmtId="0" fontId="8" fillId="0" borderId="0" xfId="0" applyFont="1"/>
    <xf numFmtId="15" fontId="8" fillId="0" borderId="0" xfId="0" applyNumberFormat="1" applyFont="1" applyAlignment="1" applyProtection="1">
      <alignment horizontal="left"/>
      <protection locked="0"/>
    </xf>
    <xf numFmtId="0" fontId="10" fillId="0" borderId="0" xfId="0" applyFont="1" applyProtection="1">
      <protection locked="0"/>
    </xf>
    <xf numFmtId="0" fontId="10" fillId="0" borderId="0" xfId="0" applyFont="1" applyAlignment="1" applyProtection="1">
      <alignment horizontal="left"/>
      <protection locked="0"/>
    </xf>
    <xf numFmtId="0" fontId="14" fillId="0" borderId="0" xfId="0" applyFont="1"/>
    <xf numFmtId="0" fontId="11" fillId="0" borderId="0" xfId="0" applyFont="1"/>
    <xf numFmtId="0" fontId="15" fillId="0" borderId="0" xfId="0" applyFont="1"/>
    <xf numFmtId="0" fontId="10" fillId="0" borderId="0" xfId="0" applyFont="1"/>
    <xf numFmtId="49" fontId="16" fillId="0" borderId="0" xfId="0" applyNumberFormat="1" applyFont="1" applyAlignment="1" applyProtection="1">
      <alignment horizontal="left" wrapText="1"/>
      <protection locked="0"/>
    </xf>
    <xf numFmtId="49" fontId="16" fillId="0" borderId="0" xfId="0" applyNumberFormat="1" applyFont="1" applyAlignment="1">
      <alignment horizontal="left" wrapText="1"/>
    </xf>
    <xf numFmtId="0" fontId="17" fillId="0" borderId="0" xfId="0" applyFont="1" applyProtection="1">
      <protection locked="0"/>
    </xf>
    <xf numFmtId="0" fontId="21" fillId="0" borderId="0" xfId="0" applyFont="1"/>
    <xf numFmtId="0" fontId="17" fillId="0" borderId="0" xfId="0" applyFont="1" applyAlignment="1" applyProtection="1">
      <alignment horizontal="left"/>
      <protection locked="0"/>
    </xf>
    <xf numFmtId="0" fontId="22" fillId="0" borderId="0" xfId="0" applyFont="1" applyProtection="1">
      <protection locked="0"/>
    </xf>
    <xf numFmtId="0" fontId="22" fillId="0" borderId="0" xfId="0" applyFont="1" applyAlignment="1" applyProtection="1">
      <alignment horizontal="left"/>
      <protection locked="0"/>
    </xf>
    <xf numFmtId="0" fontId="22" fillId="0" borderId="0" xfId="0" applyFont="1" applyBorder="1" applyAlignment="1">
      <alignment horizontal="left"/>
    </xf>
    <xf numFmtId="0" fontId="23" fillId="0" borderId="0" xfId="0" applyFont="1"/>
    <xf numFmtId="0" fontId="14" fillId="0" borderId="0" xfId="0" applyFont="1" applyBorder="1" applyProtection="1">
      <protection locked="0"/>
    </xf>
    <xf numFmtId="0" fontId="14" fillId="0" borderId="0" xfId="0" applyFont="1" applyBorder="1" applyAlignment="1" applyProtection="1">
      <alignment horizontal="left"/>
      <protection locked="0"/>
    </xf>
    <xf numFmtId="0" fontId="24" fillId="0" borderId="0" xfId="0" applyFont="1" applyBorder="1" applyAlignment="1">
      <alignment horizontal="left"/>
    </xf>
    <xf numFmtId="0" fontId="24" fillId="0" borderId="0" xfId="0" applyFont="1" applyBorder="1"/>
    <xf numFmtId="1" fontId="24" fillId="0" borderId="0" xfId="0" applyNumberFormat="1" applyFont="1" applyBorder="1"/>
    <xf numFmtId="49" fontId="24" fillId="0" borderId="0" xfId="0" applyNumberFormat="1" applyFont="1" applyBorder="1" applyAlignment="1">
      <alignment horizontal="right"/>
    </xf>
    <xf numFmtId="0" fontId="11" fillId="0" borderId="0" xfId="0" applyFont="1" applyBorder="1"/>
    <xf numFmtId="0" fontId="17" fillId="0" borderId="0" xfId="0" applyFont="1"/>
    <xf numFmtId="0" fontId="25" fillId="0" borderId="0" xfId="0" applyFont="1" applyProtection="1">
      <protection locked="0"/>
    </xf>
    <xf numFmtId="0" fontId="25" fillId="0" borderId="0" xfId="0" applyFont="1" applyAlignment="1" applyProtection="1">
      <alignment horizontal="left"/>
      <protection locked="0"/>
    </xf>
    <xf numFmtId="0" fontId="25" fillId="0" borderId="0" xfId="0" applyFont="1"/>
    <xf numFmtId="0" fontId="27" fillId="0" borderId="0" xfId="0" applyFont="1" applyBorder="1" applyAlignment="1" applyProtection="1">
      <alignment horizontal="right"/>
      <protection locked="0"/>
    </xf>
    <xf numFmtId="0" fontId="27" fillId="0" borderId="0" xfId="0" applyFont="1" applyBorder="1" applyAlignment="1">
      <alignment horizontal="right"/>
    </xf>
    <xf numFmtId="0" fontId="14" fillId="0" borderId="0" xfId="0" applyFont="1" applyProtection="1">
      <protection locked="0"/>
    </xf>
    <xf numFmtId="0" fontId="14" fillId="0" borderId="0" xfId="0" applyFont="1" applyAlignment="1" applyProtection="1">
      <alignment horizontal="left"/>
      <protection locked="0"/>
    </xf>
    <xf numFmtId="15" fontId="8" fillId="2" borderId="0" xfId="0" applyNumberFormat="1" applyFont="1" applyFill="1" applyAlignment="1" applyProtection="1">
      <alignment horizontal="left"/>
      <protection locked="0"/>
    </xf>
    <xf numFmtId="0" fontId="8" fillId="2" borderId="0" xfId="0" applyFont="1" applyFill="1" applyAlignment="1" applyProtection="1">
      <alignment shrinkToFit="1"/>
      <protection locked="0"/>
    </xf>
    <xf numFmtId="0" fontId="10" fillId="2" borderId="0" xfId="0" applyFont="1" applyFill="1"/>
    <xf numFmtId="0" fontId="11" fillId="2" borderId="0" xfId="0" applyFont="1" applyFill="1"/>
    <xf numFmtId="0" fontId="15" fillId="2" borderId="0" xfId="0" applyFont="1" applyFill="1"/>
    <xf numFmtId="0" fontId="8" fillId="2" borderId="0" xfId="0" applyFont="1" applyFill="1"/>
    <xf numFmtId="0" fontId="14" fillId="2" borderId="0" xfId="0" applyFont="1" applyFill="1"/>
    <xf numFmtId="0" fontId="9" fillId="2" borderId="0" xfId="0" applyFont="1" applyFill="1"/>
    <xf numFmtId="10" fontId="24" fillId="2" borderId="0" xfId="0" applyNumberFormat="1" applyFont="1" applyFill="1" applyBorder="1"/>
    <xf numFmtId="0" fontId="2" fillId="0" borderId="0" xfId="0" applyFont="1" applyBorder="1" applyAlignment="1">
      <alignment horizontal="left"/>
    </xf>
    <xf numFmtId="0" fontId="0" fillId="0" borderId="0" xfId="0" applyBorder="1" applyAlignment="1">
      <alignment wrapText="1"/>
    </xf>
    <xf numFmtId="0" fontId="57" fillId="0" borderId="0" xfId="0" applyFont="1" applyBorder="1" applyAlignment="1">
      <alignment horizontal="center"/>
    </xf>
    <xf numFmtId="0" fontId="57" fillId="0" borderId="0" xfId="0" applyFont="1" applyBorder="1" applyAlignment="1">
      <alignment horizontal="center" wrapText="1"/>
    </xf>
    <xf numFmtId="0" fontId="4" fillId="0" borderId="0" xfId="0" applyFont="1" applyBorder="1"/>
    <xf numFmtId="0" fontId="4" fillId="0" borderId="0" xfId="0" applyFont="1" applyBorder="1" applyAlignment="1">
      <alignment horizontal="center" vertical="center"/>
    </xf>
    <xf numFmtId="0" fontId="0" fillId="0" borderId="0" xfId="0" applyBorder="1" applyAlignment="1">
      <alignment horizontal="center" vertical="center"/>
    </xf>
    <xf numFmtId="164" fontId="1" fillId="0" borderId="0" xfId="0" applyNumberFormat="1" applyFont="1" applyBorder="1" applyAlignment="1">
      <alignment horizontal="center"/>
    </xf>
    <xf numFmtId="0" fontId="2" fillId="0" borderId="0" xfId="0" applyFont="1" applyBorder="1"/>
    <xf numFmtId="0" fontId="37" fillId="0" borderId="0" xfId="0" applyFont="1" applyBorder="1"/>
    <xf numFmtId="0" fontId="37" fillId="0" borderId="1" xfId="0" applyFont="1" applyBorder="1" applyAlignment="1" applyProtection="1">
      <alignment horizontal="center" wrapText="1"/>
      <protection locked="0"/>
    </xf>
    <xf numFmtId="0" fontId="37" fillId="0" borderId="0" xfId="0" applyFont="1" applyBorder="1" applyProtection="1">
      <protection locked="0"/>
    </xf>
    <xf numFmtId="0" fontId="0" fillId="0" borderId="2" xfId="0" applyBorder="1"/>
    <xf numFmtId="164" fontId="37" fillId="0" borderId="0" xfId="0" applyNumberFormat="1" applyFont="1" applyBorder="1" applyAlignment="1">
      <alignment horizontal="center"/>
    </xf>
    <xf numFmtId="10" fontId="37" fillId="4" borderId="3" xfId="0" applyNumberFormat="1" applyFont="1" applyFill="1" applyBorder="1" applyAlignment="1">
      <alignment horizontal="left"/>
    </xf>
    <xf numFmtId="0" fontId="0" fillId="0" borderId="0" xfId="0" applyBorder="1" applyAlignment="1">
      <alignment horizontal="center"/>
    </xf>
    <xf numFmtId="0" fontId="37" fillId="0" borderId="4" xfId="0" applyFont="1" applyBorder="1" applyAlignment="1">
      <alignment horizontal="left"/>
    </xf>
    <xf numFmtId="0" fontId="37" fillId="0" borderId="5" xfId="0" applyFont="1" applyBorder="1"/>
    <xf numFmtId="0" fontId="37" fillId="0" borderId="6" xfId="0" applyFont="1" applyBorder="1"/>
    <xf numFmtId="0" fontId="37" fillId="0" borderId="7" xfId="0" applyFont="1" applyBorder="1"/>
    <xf numFmtId="0" fontId="8" fillId="0" borderId="0" xfId="0" applyFont="1" applyAlignment="1">
      <alignment horizontal="left"/>
    </xf>
    <xf numFmtId="0" fontId="28" fillId="0" borderId="8" xfId="5" applyFont="1" applyBorder="1" applyAlignment="1" applyProtection="1">
      <alignment horizontal="left"/>
      <protection locked="0"/>
    </xf>
    <xf numFmtId="0" fontId="28" fillId="0" borderId="9" xfId="5" applyFont="1" applyBorder="1" applyProtection="1">
      <protection locked="0"/>
    </xf>
    <xf numFmtId="0" fontId="28" fillId="0" borderId="9" xfId="5" applyFont="1" applyBorder="1" applyAlignment="1" applyProtection="1">
      <alignment horizontal="center"/>
      <protection locked="0"/>
    </xf>
    <xf numFmtId="14" fontId="28" fillId="0" borderId="10" xfId="5" applyNumberFormat="1" applyFont="1" applyBorder="1" applyAlignment="1" applyProtection="1">
      <alignment horizontal="left"/>
      <protection locked="0"/>
    </xf>
    <xf numFmtId="0" fontId="6" fillId="0" borderId="0" xfId="5" applyProtection="1">
      <protection locked="0"/>
    </xf>
    <xf numFmtId="0" fontId="6" fillId="0" borderId="0" xfId="5" applyAlignment="1" applyProtection="1">
      <alignment horizontal="center"/>
      <protection locked="0"/>
    </xf>
    <xf numFmtId="14" fontId="28" fillId="0" borderId="0" xfId="5" applyNumberFormat="1" applyFont="1" applyAlignment="1" applyProtection="1">
      <alignment horizontal="left"/>
      <protection locked="0"/>
    </xf>
    <xf numFmtId="164" fontId="37" fillId="0" borderId="15" xfId="0" applyNumberFormat="1" applyFont="1" applyBorder="1" applyAlignment="1">
      <alignment horizontal="left"/>
    </xf>
    <xf numFmtId="0" fontId="36" fillId="0" borderId="16" xfId="0" applyFont="1" applyBorder="1" applyAlignment="1" applyProtection="1">
      <alignment horizontal="center"/>
      <protection locked="0"/>
    </xf>
    <xf numFmtId="0" fontId="36" fillId="0" borderId="17" xfId="0" applyFont="1" applyBorder="1" applyAlignment="1">
      <alignment horizontal="center"/>
    </xf>
    <xf numFmtId="0" fontId="36" fillId="0" borderId="18" xfId="0" applyFont="1" applyBorder="1" applyAlignment="1">
      <alignment horizontal="center"/>
    </xf>
    <xf numFmtId="0" fontId="37" fillId="0" borderId="19" xfId="0" applyFont="1" applyBorder="1" applyAlignment="1">
      <alignment horizontal="left"/>
    </xf>
    <xf numFmtId="0" fontId="37" fillId="0" borderId="20" xfId="0" applyFont="1" applyBorder="1" applyAlignment="1">
      <alignment horizontal="left"/>
    </xf>
    <xf numFmtId="0" fontId="37" fillId="0" borderId="21" xfId="0" applyFont="1" applyBorder="1" applyAlignment="1">
      <alignment horizontal="left"/>
    </xf>
    <xf numFmtId="0" fontId="37" fillId="0" borderId="22" xfId="0" applyFont="1" applyBorder="1" applyAlignment="1">
      <alignment horizontal="left"/>
    </xf>
    <xf numFmtId="0" fontId="36" fillId="5" borderId="23" xfId="0" applyFont="1" applyFill="1" applyBorder="1" applyAlignment="1">
      <alignment horizontal="center"/>
    </xf>
    <xf numFmtId="0" fontId="36" fillId="5" borderId="24" xfId="0" applyFont="1" applyFill="1" applyBorder="1" applyAlignment="1">
      <alignment horizontal="center"/>
    </xf>
    <xf numFmtId="0" fontId="36" fillId="5" borderId="25" xfId="0" applyFont="1" applyFill="1" applyBorder="1" applyAlignment="1">
      <alignment horizontal="center"/>
    </xf>
    <xf numFmtId="0" fontId="37" fillId="0" borderId="26" xfId="0" applyFont="1" applyBorder="1" applyAlignment="1">
      <alignment horizontal="left"/>
    </xf>
    <xf numFmtId="0" fontId="37" fillId="0" borderId="20" xfId="0" applyFont="1" applyBorder="1" applyAlignment="1">
      <alignment horizontal="center"/>
    </xf>
    <xf numFmtId="49" fontId="16" fillId="0" borderId="27" xfId="0" applyNumberFormat="1" applyFont="1" applyBorder="1" applyAlignment="1">
      <alignment horizontal="center" wrapText="1"/>
    </xf>
    <xf numFmtId="0" fontId="0" fillId="0" borderId="28" xfId="0" applyBorder="1"/>
    <xf numFmtId="166" fontId="58" fillId="0" borderId="0" xfId="2" applyNumberFormat="1" applyFont="1" applyFill="1" applyBorder="1" applyAlignment="1" applyProtection="1">
      <alignment horizontal="center" shrinkToFit="1"/>
    </xf>
    <xf numFmtId="49" fontId="16" fillId="0" borderId="27" xfId="0" applyNumberFormat="1" applyFont="1" applyBorder="1" applyAlignment="1">
      <alignment horizontal="center" vertical="center" wrapText="1"/>
    </xf>
    <xf numFmtId="49" fontId="16" fillId="2" borderId="33" xfId="0" applyNumberFormat="1" applyFont="1" applyFill="1" applyBorder="1" applyAlignment="1">
      <alignment horizontal="center" wrapText="1"/>
    </xf>
    <xf numFmtId="49" fontId="16" fillId="0" borderId="34" xfId="0" applyNumberFormat="1" applyFont="1" applyBorder="1" applyAlignment="1">
      <alignment horizontal="center" wrapText="1"/>
    </xf>
    <xf numFmtId="49" fontId="16" fillId="0" borderId="35" xfId="0" applyNumberFormat="1" applyFont="1" applyBorder="1" applyAlignment="1">
      <alignment horizontal="center" wrapText="1"/>
    </xf>
    <xf numFmtId="0" fontId="2" fillId="0" borderId="0" xfId="0" applyFont="1" applyBorder="1" applyAlignment="1">
      <alignment horizontal="right"/>
    </xf>
    <xf numFmtId="0" fontId="37" fillId="0" borderId="0" xfId="0" applyFont="1" applyBorder="1" applyAlignment="1">
      <alignment horizontal="center" vertical="center" wrapText="1"/>
    </xf>
    <xf numFmtId="14" fontId="37" fillId="0" borderId="0" xfId="0" applyNumberFormat="1" applyFont="1" applyBorder="1" applyAlignment="1">
      <alignment horizontal="center" vertical="center" wrapText="1"/>
    </xf>
    <xf numFmtId="0" fontId="39" fillId="0" borderId="0" xfId="0" applyFont="1" applyBorder="1" applyAlignment="1">
      <alignment horizontal="center" vertical="center" wrapText="1"/>
    </xf>
    <xf numFmtId="0" fontId="39" fillId="0" borderId="0" xfId="0" applyFont="1" applyBorder="1" applyAlignment="1">
      <alignment horizontal="center" wrapText="1"/>
    </xf>
    <xf numFmtId="0" fontId="39" fillId="0" borderId="0" xfId="0" applyFont="1" applyBorder="1" applyAlignment="1">
      <alignment wrapText="1"/>
    </xf>
    <xf numFmtId="0" fontId="59" fillId="0" borderId="0" xfId="0" applyFont="1" applyBorder="1" applyAlignment="1">
      <alignment horizontal="center" wrapText="1"/>
    </xf>
    <xf numFmtId="0" fontId="13" fillId="0" borderId="0" xfId="0" applyFont="1" applyProtection="1">
      <protection locked="0"/>
    </xf>
    <xf numFmtId="167" fontId="1" fillId="0" borderId="15" xfId="0" applyNumberFormat="1" applyFont="1" applyBorder="1" applyAlignment="1">
      <alignment horizontal="center"/>
    </xf>
    <xf numFmtId="167" fontId="1" fillId="0" borderId="4" xfId="0" applyNumberFormat="1" applyFont="1" applyBorder="1" applyAlignment="1">
      <alignment horizontal="center"/>
    </xf>
    <xf numFmtId="10" fontId="24" fillId="2" borderId="0" xfId="0" applyNumberFormat="1" applyFont="1" applyFill="1" applyBorder="1" applyAlignment="1">
      <alignment horizontal="center" vertical="center"/>
    </xf>
    <xf numFmtId="49" fontId="16" fillId="2" borderId="27" xfId="0" applyNumberFormat="1" applyFont="1" applyFill="1" applyBorder="1" applyAlignment="1">
      <alignment horizontal="center" vertical="center" wrapText="1"/>
    </xf>
    <xf numFmtId="166" fontId="42" fillId="0" borderId="1" xfId="0" applyNumberFormat="1" applyFont="1" applyBorder="1"/>
    <xf numFmtId="166" fontId="42" fillId="0" borderId="12" xfId="0" applyNumberFormat="1" applyFont="1" applyBorder="1"/>
    <xf numFmtId="0" fontId="42" fillId="0" borderId="1" xfId="0" applyFont="1" applyBorder="1" applyAlignment="1" applyProtection="1">
      <alignment horizontal="center" wrapText="1"/>
      <protection locked="0"/>
    </xf>
    <xf numFmtId="0" fontId="24" fillId="2" borderId="0" xfId="0" applyFont="1" applyFill="1" applyBorder="1" applyAlignment="1">
      <alignment horizontal="center" vertical="center"/>
    </xf>
    <xf numFmtId="0" fontId="27" fillId="0" borderId="36" xfId="0" applyFont="1" applyBorder="1" applyAlignment="1">
      <alignment horizontal="center"/>
    </xf>
    <xf numFmtId="0" fontId="27" fillId="2" borderId="36" xfId="0" applyFont="1" applyFill="1" applyBorder="1" applyAlignment="1">
      <alignment horizontal="center"/>
    </xf>
    <xf numFmtId="10" fontId="22" fillId="2" borderId="37" xfId="0" applyNumberFormat="1" applyFont="1" applyFill="1" applyBorder="1" applyAlignment="1">
      <alignment horizontal="center"/>
    </xf>
    <xf numFmtId="10" fontId="22" fillId="2" borderId="38" xfId="0" applyNumberFormat="1" applyFont="1" applyFill="1" applyBorder="1" applyAlignment="1">
      <alignment horizontal="center"/>
    </xf>
    <xf numFmtId="0" fontId="22" fillId="0" borderId="0" xfId="0" applyFont="1" applyBorder="1" applyAlignment="1">
      <alignment horizontal="center"/>
    </xf>
    <xf numFmtId="1" fontId="22" fillId="0" borderId="0" xfId="0" applyNumberFormat="1" applyFont="1" applyBorder="1" applyAlignment="1">
      <alignment horizontal="center"/>
    </xf>
    <xf numFmtId="0" fontId="22" fillId="2" borderId="0" xfId="0" applyFont="1" applyFill="1" applyBorder="1" applyAlignment="1">
      <alignment horizontal="center"/>
    </xf>
    <xf numFmtId="10" fontId="22" fillId="2" borderId="0" xfId="0" applyNumberFormat="1" applyFont="1" applyFill="1" applyBorder="1" applyAlignment="1">
      <alignment horizontal="center"/>
    </xf>
    <xf numFmtId="0" fontId="25" fillId="0" borderId="0" xfId="0" applyFont="1" applyAlignment="1">
      <alignment horizontal="center"/>
    </xf>
    <xf numFmtId="0" fontId="60" fillId="0" borderId="39" xfId="5" applyFont="1" applyBorder="1" applyAlignment="1" applyProtection="1">
      <alignment horizontal="center"/>
      <protection locked="0"/>
    </xf>
    <xf numFmtId="0" fontId="0" fillId="0" borderId="40" xfId="0" applyBorder="1"/>
    <xf numFmtId="164" fontId="31" fillId="0" borderId="0" xfId="0" applyNumberFormat="1" applyFont="1" applyBorder="1" applyAlignment="1">
      <alignment horizontal="center"/>
    </xf>
    <xf numFmtId="0" fontId="37" fillId="0" borderId="0" xfId="0" applyFont="1" applyBorder="1" applyAlignment="1">
      <alignment horizontal="center"/>
    </xf>
    <xf numFmtId="0" fontId="0" fillId="0" borderId="41" xfId="0" applyBorder="1"/>
    <xf numFmtId="8" fontId="36" fillId="0" borderId="0" xfId="0" applyNumberFormat="1" applyFont="1" applyBorder="1" applyAlignment="1">
      <alignment horizontal="center"/>
    </xf>
    <xf numFmtId="0" fontId="1" fillId="0" borderId="0" xfId="0" applyFont="1" applyBorder="1" applyAlignment="1">
      <alignment horizontal="center"/>
    </xf>
    <xf numFmtId="0" fontId="37" fillId="0" borderId="42" xfId="0" applyFont="1" applyBorder="1"/>
    <xf numFmtId="166" fontId="61" fillId="0" borderId="0" xfId="0" applyNumberFormat="1" applyFont="1" applyBorder="1" applyAlignment="1">
      <alignment horizontal="center"/>
    </xf>
    <xf numFmtId="166" fontId="36" fillId="0" borderId="0" xfId="2" applyNumberFormat="1" applyFont="1" applyFill="1" applyBorder="1" applyAlignment="1">
      <alignment horizontal="center" wrapText="1"/>
    </xf>
    <xf numFmtId="0" fontId="37" fillId="0" borderId="43" xfId="0" applyFont="1" applyBorder="1" applyAlignment="1">
      <alignment horizontal="center"/>
    </xf>
    <xf numFmtId="0" fontId="0" fillId="0" borderId="44" xfId="0" applyBorder="1"/>
    <xf numFmtId="0" fontId="44" fillId="0" borderId="45" xfId="0" applyFont="1" applyBorder="1" applyAlignment="1">
      <alignment horizontal="center" vertical="center"/>
    </xf>
    <xf numFmtId="0" fontId="1" fillId="7" borderId="46" xfId="0" applyFont="1" applyFill="1" applyBorder="1" applyAlignment="1">
      <alignment horizontal="center" vertical="center"/>
    </xf>
    <xf numFmtId="0" fontId="1" fillId="7" borderId="46" xfId="0" applyFont="1" applyFill="1" applyBorder="1" applyAlignment="1">
      <alignment horizontal="center" vertical="center" wrapText="1"/>
    </xf>
    <xf numFmtId="0" fontId="62" fillId="0" borderId="0" xfId="0" applyFont="1" applyBorder="1" applyAlignment="1">
      <alignment horizontal="center" vertical="center"/>
    </xf>
    <xf numFmtId="0" fontId="47" fillId="2" borderId="0" xfId="0" applyFont="1" applyFill="1" applyBorder="1" applyAlignment="1">
      <alignment horizontal="center"/>
    </xf>
    <xf numFmtId="0" fontId="48" fillId="0" borderId="0" xfId="0" applyFont="1" applyBorder="1" applyAlignment="1">
      <alignment horizontal="center"/>
    </xf>
    <xf numFmtId="1" fontId="47" fillId="0" borderId="0" xfId="0" applyNumberFormat="1" applyFont="1" applyBorder="1" applyAlignment="1">
      <alignment horizontal="center"/>
    </xf>
    <xf numFmtId="1" fontId="48" fillId="0" borderId="0" xfId="0" applyNumberFormat="1" applyFont="1" applyBorder="1" applyAlignment="1">
      <alignment horizontal="center"/>
    </xf>
    <xf numFmtId="10" fontId="48" fillId="2" borderId="0" xfId="0" applyNumberFormat="1" applyFont="1" applyFill="1" applyBorder="1" applyAlignment="1">
      <alignment horizontal="center"/>
    </xf>
    <xf numFmtId="1" fontId="63" fillId="0" borderId="0" xfId="0" applyNumberFormat="1" applyFont="1" applyBorder="1" applyAlignment="1">
      <alignment horizontal="center"/>
    </xf>
    <xf numFmtId="0" fontId="64" fillId="0" borderId="0" xfId="0" applyFont="1" applyBorder="1" applyAlignment="1">
      <alignment horizontal="center"/>
    </xf>
    <xf numFmtId="0" fontId="63" fillId="0" borderId="0" xfId="0" applyFont="1" applyBorder="1" applyAlignment="1">
      <alignment horizontal="center"/>
    </xf>
    <xf numFmtId="0" fontId="65" fillId="0" borderId="5" xfId="0" applyFont="1" applyBorder="1"/>
    <xf numFmtId="0" fontId="22" fillId="0" borderId="0" xfId="0" applyFont="1" applyBorder="1" applyProtection="1">
      <protection locked="0"/>
    </xf>
    <xf numFmtId="0" fontId="22" fillId="0" borderId="0" xfId="0" applyFont="1" applyBorder="1" applyAlignment="1" applyProtection="1">
      <alignment horizontal="center"/>
      <protection locked="0"/>
    </xf>
    <xf numFmtId="10" fontId="19" fillId="2" borderId="47" xfId="0" applyNumberFormat="1" applyFont="1" applyFill="1" applyBorder="1" applyAlignment="1">
      <alignment horizontal="center" vertical="center"/>
    </xf>
    <xf numFmtId="1" fontId="19" fillId="0" borderId="47" xfId="0" applyNumberFormat="1" applyFont="1" applyBorder="1"/>
    <xf numFmtId="0" fontId="20" fillId="0" borderId="47" xfId="0" applyFont="1" applyBorder="1" applyProtection="1">
      <protection locked="0"/>
    </xf>
    <xf numFmtId="10" fontId="49" fillId="2" borderId="0" xfId="0" applyNumberFormat="1" applyFont="1" applyFill="1" applyBorder="1" applyAlignment="1">
      <alignment horizontal="center"/>
    </xf>
    <xf numFmtId="167" fontId="2" fillId="0" borderId="4" xfId="0" applyNumberFormat="1" applyFont="1" applyBorder="1" applyAlignment="1">
      <alignment horizontal="center"/>
    </xf>
    <xf numFmtId="8" fontId="36" fillId="0" borderId="48" xfId="0" applyNumberFormat="1" applyFont="1" applyBorder="1" applyAlignment="1">
      <alignment horizontal="center" vertical="center"/>
    </xf>
    <xf numFmtId="8" fontId="36" fillId="0" borderId="49" xfId="0" applyNumberFormat="1" applyFont="1" applyBorder="1" applyAlignment="1">
      <alignment horizontal="center" vertical="center"/>
    </xf>
    <xf numFmtId="0" fontId="1" fillId="0" borderId="19" xfId="0" applyFont="1" applyBorder="1" applyAlignment="1">
      <alignment horizontal="center"/>
    </xf>
    <xf numFmtId="165" fontId="51" fillId="0" borderId="0" xfId="0" applyNumberFormat="1" applyFont="1" applyAlignment="1" applyProtection="1">
      <alignment horizontal="left" shrinkToFit="1"/>
      <protection locked="0"/>
    </xf>
    <xf numFmtId="164" fontId="36" fillId="0" borderId="1" xfId="0" applyNumberFormat="1" applyFont="1" applyBorder="1" applyAlignment="1">
      <alignment horizontal="left"/>
    </xf>
    <xf numFmtId="164" fontId="36" fillId="0" borderId="1" xfId="0" applyNumberFormat="1" applyFont="1" applyBorder="1" applyAlignment="1">
      <alignment horizontal="left" wrapText="1"/>
    </xf>
    <xf numFmtId="164" fontId="37" fillId="0" borderId="1" xfId="0" applyNumberFormat="1" applyFont="1" applyBorder="1" applyAlignment="1">
      <alignment horizontal="left"/>
    </xf>
    <xf numFmtId="164" fontId="36" fillId="0" borderId="1" xfId="0" applyNumberFormat="1" applyFont="1" applyBorder="1" applyAlignment="1">
      <alignment horizontal="left" shrinkToFit="1"/>
    </xf>
    <xf numFmtId="0" fontId="37" fillId="0" borderId="1" xfId="0" applyFont="1" applyBorder="1" applyAlignment="1">
      <alignment horizontal="left" shrinkToFit="1"/>
    </xf>
    <xf numFmtId="0" fontId="37" fillId="0" borderId="1" xfId="0" applyFont="1" applyBorder="1" applyAlignment="1">
      <alignment horizontal="left"/>
    </xf>
    <xf numFmtId="0" fontId="37" fillId="0" borderId="50" xfId="0" applyFont="1" applyBorder="1" applyAlignment="1">
      <alignment horizontal="left"/>
    </xf>
    <xf numFmtId="0" fontId="36" fillId="0" borderId="1" xfId="0" applyFont="1" applyBorder="1" applyAlignment="1">
      <alignment horizontal="left"/>
    </xf>
    <xf numFmtId="0" fontId="65" fillId="0" borderId="1" xfId="0" applyFont="1" applyBorder="1" applyAlignment="1">
      <alignment horizontal="left"/>
    </xf>
    <xf numFmtId="0" fontId="36" fillId="0" borderId="3" xfId="0" applyFont="1" applyBorder="1" applyAlignment="1">
      <alignment horizontal="left"/>
    </xf>
    <xf numFmtId="0" fontId="65" fillId="0" borderId="51" xfId="0" applyFont="1" applyBorder="1" applyAlignment="1">
      <alignment horizontal="left"/>
    </xf>
    <xf numFmtId="0" fontId="11" fillId="8" borderId="0" xfId="0" applyFont="1" applyFill="1"/>
    <xf numFmtId="0" fontId="27" fillId="8" borderId="36" xfId="0" applyFont="1" applyFill="1" applyBorder="1" applyAlignment="1">
      <alignment horizontal="center"/>
    </xf>
    <xf numFmtId="0" fontId="66" fillId="8" borderId="36" xfId="0" applyFont="1" applyFill="1" applyBorder="1" applyAlignment="1">
      <alignment horizontal="center"/>
    </xf>
    <xf numFmtId="0" fontId="67" fillId="0" borderId="36" xfId="0" applyFont="1" applyBorder="1" applyAlignment="1">
      <alignment horizontal="left"/>
    </xf>
    <xf numFmtId="0" fontId="53" fillId="0" borderId="0" xfId="0" applyFont="1"/>
    <xf numFmtId="10" fontId="19" fillId="2" borderId="1" xfId="0" applyNumberFormat="1" applyFont="1" applyFill="1" applyBorder="1" applyAlignment="1">
      <alignment horizontal="center" vertical="center"/>
    </xf>
    <xf numFmtId="1" fontId="19" fillId="0" borderId="1" xfId="0" applyNumberFormat="1" applyFont="1" applyBorder="1"/>
    <xf numFmtId="1" fontId="17" fillId="0" borderId="1" xfId="0" applyNumberFormat="1" applyFont="1" applyBorder="1" applyProtection="1">
      <protection locked="0"/>
    </xf>
    <xf numFmtId="1" fontId="20" fillId="0" borderId="1" xfId="0" applyNumberFormat="1" applyFont="1" applyBorder="1" applyProtection="1">
      <protection locked="0"/>
    </xf>
    <xf numFmtId="10" fontId="19" fillId="2" borderId="12" xfId="0" applyNumberFormat="1" applyFont="1" applyFill="1" applyBorder="1" applyAlignment="1">
      <alignment horizontal="center" vertical="center"/>
    </xf>
    <xf numFmtId="1" fontId="19" fillId="0" borderId="12" xfId="0" applyNumberFormat="1" applyFont="1" applyBorder="1"/>
    <xf numFmtId="1" fontId="17" fillId="0" borderId="12" xfId="0" applyNumberFormat="1" applyFont="1" applyBorder="1" applyProtection="1">
      <protection locked="0"/>
    </xf>
    <xf numFmtId="1" fontId="20" fillId="0" borderId="12" xfId="0" applyNumberFormat="1" applyFont="1" applyBorder="1" applyProtection="1">
      <protection locked="0"/>
    </xf>
    <xf numFmtId="0" fontId="19" fillId="2" borderId="32" xfId="0" applyFont="1" applyFill="1" applyBorder="1" applyAlignment="1">
      <alignment horizontal="center" vertical="center"/>
    </xf>
    <xf numFmtId="0" fontId="19" fillId="2" borderId="13" xfId="0" applyFont="1" applyFill="1" applyBorder="1" applyAlignment="1">
      <alignment horizontal="center" vertical="center"/>
    </xf>
    <xf numFmtId="0" fontId="19" fillId="2" borderId="53" xfId="0" applyFont="1" applyFill="1" applyBorder="1" applyAlignment="1">
      <alignment horizontal="center" vertical="center"/>
    </xf>
    <xf numFmtId="49" fontId="68" fillId="0" borderId="54" xfId="0" applyNumberFormat="1" applyFont="1" applyBorder="1" applyAlignment="1" applyProtection="1">
      <alignment horizontal="center" wrapText="1"/>
      <protection locked="0"/>
    </xf>
    <xf numFmtId="49" fontId="68" fillId="0" borderId="54" xfId="0" applyNumberFormat="1" applyFont="1" applyBorder="1" applyAlignment="1" applyProtection="1">
      <alignment horizontal="center" vertical="center" wrapText="1"/>
      <protection locked="0"/>
    </xf>
    <xf numFmtId="49" fontId="16" fillId="0" borderId="33" xfId="0" applyNumberFormat="1" applyFont="1" applyBorder="1" applyAlignment="1">
      <alignment horizontal="center" vertical="center" wrapText="1"/>
    </xf>
    <xf numFmtId="49" fontId="16" fillId="2" borderId="33" xfId="0" applyNumberFormat="1" applyFont="1" applyFill="1" applyBorder="1" applyAlignment="1">
      <alignment horizontal="center" vertical="center" wrapText="1"/>
    </xf>
    <xf numFmtId="49" fontId="16" fillId="0" borderId="35" xfId="0" applyNumberFormat="1" applyFont="1" applyBorder="1" applyAlignment="1">
      <alignment horizontal="center" vertical="center" wrapText="1"/>
    </xf>
    <xf numFmtId="0" fontId="19" fillId="2" borderId="55" xfId="0" applyFont="1" applyFill="1" applyBorder="1" applyAlignment="1">
      <alignment horizontal="center" vertical="center"/>
    </xf>
    <xf numFmtId="10" fontId="19" fillId="2" borderId="56" xfId="0" applyNumberFormat="1" applyFont="1" applyFill="1" applyBorder="1" applyAlignment="1">
      <alignment horizontal="center" vertical="center"/>
    </xf>
    <xf numFmtId="1" fontId="19" fillId="0" borderId="56" xfId="0" applyNumberFormat="1" applyFont="1" applyBorder="1"/>
    <xf numFmtId="0" fontId="20" fillId="0" borderId="56" xfId="0" applyFont="1" applyBorder="1" applyProtection="1">
      <protection locked="0"/>
    </xf>
    <xf numFmtId="0" fontId="54" fillId="0" borderId="0" xfId="0" applyFont="1" applyBorder="1" applyAlignment="1">
      <alignment vertical="center"/>
    </xf>
    <xf numFmtId="0" fontId="54" fillId="0" borderId="0" xfId="0" applyFont="1" applyBorder="1" applyAlignment="1">
      <alignment horizontal="left" vertical="center"/>
    </xf>
    <xf numFmtId="168" fontId="54" fillId="0" borderId="0" xfId="0" applyNumberFormat="1" applyFont="1" applyBorder="1" applyAlignment="1">
      <alignment vertical="center"/>
    </xf>
    <xf numFmtId="0" fontId="50" fillId="0" borderId="1" xfId="0" applyFont="1" applyBorder="1" applyAlignment="1">
      <alignment horizontal="center"/>
    </xf>
    <xf numFmtId="0" fontId="50" fillId="0" borderId="1" xfId="0" applyFont="1" applyBorder="1" applyAlignment="1">
      <alignment horizontal="center" vertical="center" wrapText="1"/>
    </xf>
    <xf numFmtId="0" fontId="50" fillId="0" borderId="1" xfId="0" applyFont="1" applyBorder="1" applyAlignment="1">
      <alignment horizontal="center" wrapText="1"/>
    </xf>
    <xf numFmtId="9" fontId="50" fillId="0" borderId="1" xfId="6" applyFont="1" applyFill="1" applyBorder="1" applyAlignment="1" applyProtection="1">
      <alignment horizontal="center" wrapText="1"/>
    </xf>
    <xf numFmtId="0" fontId="69" fillId="0" borderId="1" xfId="0" applyFont="1" applyBorder="1" applyAlignment="1">
      <alignment horizontal="center" wrapText="1"/>
    </xf>
    <xf numFmtId="3" fontId="50" fillId="0" borderId="1" xfId="0" applyNumberFormat="1" applyFont="1" applyBorder="1" applyAlignment="1">
      <alignment horizontal="center" wrapText="1"/>
    </xf>
    <xf numFmtId="0" fontId="36" fillId="0" borderId="50" xfId="0" applyFont="1" applyBorder="1" applyAlignment="1">
      <alignment horizontal="right"/>
    </xf>
    <xf numFmtId="10" fontId="36" fillId="0" borderId="1" xfId="0" applyNumberFormat="1" applyFont="1" applyBorder="1" applyAlignment="1">
      <alignment horizontal="right"/>
    </xf>
    <xf numFmtId="0" fontId="36" fillId="0" borderId="1" xfId="0" applyFont="1" applyBorder="1" applyAlignment="1">
      <alignment horizontal="right"/>
    </xf>
    <xf numFmtId="0" fontId="43" fillId="0" borderId="1" xfId="0" applyFont="1" applyBorder="1" applyAlignment="1">
      <alignment horizontal="right"/>
    </xf>
    <xf numFmtId="10" fontId="36" fillId="0" borderId="12" xfId="0" applyNumberFormat="1" applyFont="1" applyBorder="1"/>
    <xf numFmtId="0" fontId="42" fillId="6" borderId="1" xfId="0" applyFont="1" applyFill="1" applyBorder="1" applyAlignment="1" applyProtection="1">
      <alignment horizontal="center"/>
      <protection locked="0"/>
    </xf>
    <xf numFmtId="0" fontId="42" fillId="6" borderId="1" xfId="0" applyFont="1" applyFill="1" applyBorder="1" applyAlignment="1">
      <alignment horizontal="center"/>
    </xf>
    <xf numFmtId="0" fontId="42" fillId="6" borderId="50" xfId="0" applyFont="1" applyFill="1" applyBorder="1" applyAlignment="1" applyProtection="1">
      <alignment horizontal="center" wrapText="1"/>
      <protection locked="0"/>
    </xf>
    <xf numFmtId="0" fontId="42" fillId="6" borderId="1" xfId="0" applyFont="1" applyFill="1" applyBorder="1" applyAlignment="1" applyProtection="1">
      <alignment horizontal="center" wrapText="1"/>
      <protection locked="0"/>
    </xf>
    <xf numFmtId="0" fontId="37" fillId="6" borderId="1" xfId="0" applyFont="1" applyFill="1" applyBorder="1" applyAlignment="1" applyProtection="1">
      <alignment horizontal="center" wrapText="1"/>
      <protection locked="0"/>
    </xf>
    <xf numFmtId="3" fontId="42" fillId="6" borderId="1" xfId="0" applyNumberFormat="1" applyFont="1" applyFill="1" applyBorder="1" applyAlignment="1" applyProtection="1">
      <alignment horizontal="center" wrapText="1"/>
      <protection locked="0"/>
    </xf>
    <xf numFmtId="0" fontId="69" fillId="6" borderId="12" xfId="0" applyFont="1" applyFill="1" applyBorder="1" applyAlignment="1">
      <alignment horizontal="center" wrapText="1"/>
    </xf>
    <xf numFmtId="0" fontId="42" fillId="6" borderId="50" xfId="0" applyFont="1" applyFill="1" applyBorder="1" applyAlignment="1">
      <alignment horizontal="right"/>
    </xf>
    <xf numFmtId="0" fontId="42" fillId="6" borderId="1" xfId="0" applyFont="1" applyFill="1" applyBorder="1" applyAlignment="1">
      <alignment horizontal="right"/>
    </xf>
    <xf numFmtId="0" fontId="42" fillId="6" borderId="1" xfId="0" applyFont="1" applyFill="1" applyBorder="1"/>
    <xf numFmtId="0" fontId="42" fillId="6" borderId="57" xfId="0" applyFont="1" applyFill="1" applyBorder="1" applyAlignment="1">
      <alignment horizontal="right"/>
    </xf>
    <xf numFmtId="0" fontId="42" fillId="6" borderId="12" xfId="0" applyFont="1" applyFill="1" applyBorder="1" applyAlignment="1">
      <alignment horizontal="right"/>
    </xf>
    <xf numFmtId="166" fontId="36" fillId="6" borderId="58" xfId="2" applyNumberFormat="1" applyFont="1" applyFill="1" applyBorder="1" applyAlignment="1">
      <alignment horizontal="center" vertical="center" wrapText="1"/>
    </xf>
    <xf numFmtId="166" fontId="61" fillId="6" borderId="59" xfId="2" applyNumberFormat="1" applyFont="1" applyFill="1" applyBorder="1" applyAlignment="1">
      <alignment horizontal="center" vertical="center" wrapText="1"/>
    </xf>
    <xf numFmtId="166" fontId="36" fillId="6" borderId="19" xfId="2" applyNumberFormat="1" applyFont="1" applyFill="1" applyBorder="1" applyAlignment="1">
      <alignment horizontal="center" vertical="center" wrapText="1"/>
    </xf>
    <xf numFmtId="166" fontId="61" fillId="6" borderId="13" xfId="2" applyNumberFormat="1" applyFont="1" applyFill="1" applyBorder="1" applyAlignment="1">
      <alignment horizontal="center" vertical="center" wrapText="1"/>
    </xf>
    <xf numFmtId="0" fontId="36" fillId="6" borderId="46" xfId="0" applyFont="1" applyFill="1" applyBorder="1" applyAlignment="1">
      <alignment horizontal="center" vertical="center"/>
    </xf>
    <xf numFmtId="0" fontId="52" fillId="6" borderId="46" xfId="0" applyFont="1" applyFill="1" applyBorder="1" applyAlignment="1">
      <alignment horizontal="center" vertical="center" wrapText="1"/>
    </xf>
    <xf numFmtId="16" fontId="52" fillId="6" borderId="46" xfId="0" applyNumberFormat="1" applyFont="1" applyFill="1" applyBorder="1" applyAlignment="1">
      <alignment horizontal="center" vertical="center" wrapText="1"/>
    </xf>
    <xf numFmtId="16" fontId="52" fillId="6" borderId="46" xfId="0" applyNumberFormat="1" applyFont="1" applyFill="1" applyBorder="1" applyAlignment="1">
      <alignment horizontal="center" vertical="center"/>
    </xf>
    <xf numFmtId="0" fontId="52" fillId="6" borderId="46" xfId="0" applyFont="1" applyFill="1" applyBorder="1" applyAlignment="1">
      <alignment horizontal="center" vertical="center"/>
    </xf>
    <xf numFmtId="6" fontId="52" fillId="6" borderId="46" xfId="0" applyNumberFormat="1" applyFont="1" applyFill="1" applyBorder="1" applyAlignment="1">
      <alignment horizontal="center" vertical="center" wrapText="1"/>
    </xf>
    <xf numFmtId="49" fontId="18" fillId="6" borderId="61" xfId="0" applyNumberFormat="1" applyFont="1" applyFill="1" applyBorder="1" applyAlignment="1" applyProtection="1">
      <alignment horizontal="left"/>
      <protection locked="0"/>
    </xf>
    <xf numFmtId="49" fontId="18" fillId="6" borderId="62" xfId="0" applyNumberFormat="1" applyFont="1" applyFill="1" applyBorder="1" applyAlignment="1" applyProtection="1">
      <alignment horizontal="left"/>
      <protection locked="0"/>
    </xf>
    <xf numFmtId="49" fontId="18" fillId="6" borderId="63" xfId="0" applyNumberFormat="1" applyFont="1" applyFill="1" applyBorder="1" applyAlignment="1" applyProtection="1">
      <alignment horizontal="left"/>
      <protection locked="0"/>
    </xf>
    <xf numFmtId="49" fontId="18" fillId="6" borderId="64" xfId="0" applyNumberFormat="1" applyFont="1" applyFill="1" applyBorder="1" applyAlignment="1" applyProtection="1">
      <alignment horizontal="left"/>
      <protection locked="0"/>
    </xf>
    <xf numFmtId="49" fontId="18" fillId="6" borderId="65" xfId="0" applyNumberFormat="1" applyFont="1" applyFill="1" applyBorder="1" applyAlignment="1" applyProtection="1">
      <alignment horizontal="left"/>
      <protection locked="0"/>
    </xf>
    <xf numFmtId="0" fontId="46" fillId="6" borderId="1" xfId="0" applyFont="1" applyFill="1" applyBorder="1" applyAlignment="1" applyProtection="1">
      <alignment horizontal="center"/>
      <protection locked="0"/>
    </xf>
    <xf numFmtId="0" fontId="46" fillId="6" borderId="12" xfId="0" applyFont="1" applyFill="1" applyBorder="1" applyAlignment="1" applyProtection="1">
      <alignment horizontal="center"/>
      <protection locked="0"/>
    </xf>
    <xf numFmtId="1" fontId="45" fillId="6" borderId="1" xfId="0" applyNumberFormat="1" applyFont="1" applyFill="1" applyBorder="1" applyAlignment="1" applyProtection="1">
      <alignment horizontal="center"/>
      <protection locked="0"/>
    </xf>
    <xf numFmtId="0" fontId="45" fillId="6" borderId="1" xfId="0" applyFont="1" applyFill="1" applyBorder="1" applyAlignment="1" applyProtection="1">
      <alignment horizontal="center"/>
      <protection locked="0"/>
    </xf>
    <xf numFmtId="1" fontId="45" fillId="6" borderId="12" xfId="0" applyNumberFormat="1" applyFont="1" applyFill="1" applyBorder="1" applyAlignment="1" applyProtection="1">
      <alignment horizontal="center"/>
      <protection locked="0"/>
    </xf>
    <xf numFmtId="0" fontId="45" fillId="6" borderId="12" xfId="0" applyFont="1" applyFill="1" applyBorder="1" applyAlignment="1" applyProtection="1">
      <alignment horizontal="center"/>
      <protection locked="0"/>
    </xf>
    <xf numFmtId="0" fontId="46" fillId="6" borderId="66" xfId="0" applyFont="1" applyFill="1" applyBorder="1" applyAlignment="1" applyProtection="1">
      <alignment horizontal="center"/>
      <protection locked="0"/>
    </xf>
    <xf numFmtId="0" fontId="70" fillId="6" borderId="66" xfId="0" applyFont="1" applyFill="1" applyBorder="1" applyAlignment="1" applyProtection="1">
      <alignment horizontal="center"/>
      <protection locked="0"/>
    </xf>
    <xf numFmtId="0" fontId="46" fillId="6" borderId="49" xfId="0" applyFont="1" applyFill="1" applyBorder="1" applyAlignment="1" applyProtection="1">
      <alignment horizontal="center"/>
      <protection locked="0"/>
    </xf>
    <xf numFmtId="0" fontId="45" fillId="6" borderId="56" xfId="0" applyFont="1" applyFill="1" applyBorder="1" applyAlignment="1" applyProtection="1">
      <alignment horizontal="center" vertical="center"/>
      <protection locked="0"/>
    </xf>
    <xf numFmtId="0" fontId="45" fillId="6" borderId="47" xfId="0" applyFont="1" applyFill="1" applyBorder="1" applyAlignment="1" applyProtection="1">
      <alignment horizontal="center" vertical="center"/>
      <protection locked="0"/>
    </xf>
    <xf numFmtId="0" fontId="45" fillId="6" borderId="67" xfId="0" applyFont="1" applyFill="1" applyBorder="1" applyAlignment="1" applyProtection="1">
      <alignment horizontal="center" vertical="center"/>
      <protection locked="0"/>
    </xf>
    <xf numFmtId="0" fontId="45" fillId="6" borderId="68" xfId="0" applyFont="1" applyFill="1" applyBorder="1" applyAlignment="1" applyProtection="1">
      <alignment horizontal="center" vertical="center"/>
      <protection locked="0"/>
    </xf>
    <xf numFmtId="0" fontId="0" fillId="0" borderId="20" xfId="0" applyBorder="1"/>
    <xf numFmtId="0" fontId="72" fillId="0" borderId="0" xfId="0" applyFont="1" applyBorder="1"/>
    <xf numFmtId="0" fontId="76" fillId="0" borderId="21" xfId="0" applyFont="1" applyBorder="1" applyAlignment="1">
      <alignment horizontal="center" vertical="center"/>
    </xf>
    <xf numFmtId="0" fontId="77" fillId="0" borderId="20" xfId="0" applyFont="1" applyBorder="1" applyAlignment="1">
      <alignment horizontal="center" vertical="center"/>
    </xf>
    <xf numFmtId="0" fontId="77" fillId="0" borderId="9" xfId="0" applyFont="1" applyBorder="1" applyAlignment="1">
      <alignment horizontal="center" vertical="center"/>
    </xf>
    <xf numFmtId="169" fontId="77" fillId="0" borderId="0" xfId="0" applyNumberFormat="1" applyFont="1" applyBorder="1" applyAlignment="1">
      <alignment horizontal="center" vertical="center" wrapText="1"/>
    </xf>
    <xf numFmtId="0" fontId="79" fillId="0" borderId="69" xfId="0" applyFont="1" applyBorder="1" applyAlignment="1">
      <alignment horizontal="left" wrapText="1"/>
    </xf>
    <xf numFmtId="170" fontId="80" fillId="0" borderId="5" xfId="0" applyNumberFormat="1" applyFont="1" applyBorder="1" applyAlignment="1">
      <alignment horizontal="center" vertical="center" wrapText="1"/>
    </xf>
    <xf numFmtId="170" fontId="80" fillId="0" borderId="0" xfId="0" applyNumberFormat="1" applyFont="1" applyBorder="1" applyAlignment="1">
      <alignment horizontal="center" vertical="center" wrapText="1"/>
    </xf>
    <xf numFmtId="0" fontId="78" fillId="0" borderId="69" xfId="0" applyFont="1" applyBorder="1" applyAlignment="1">
      <alignment horizontal="left" wrapText="1"/>
    </xf>
    <xf numFmtId="0" fontId="81" fillId="0" borderId="6" xfId="0" applyFont="1" applyBorder="1" applyAlignment="1">
      <alignment horizontal="left"/>
    </xf>
    <xf numFmtId="170" fontId="82" fillId="0" borderId="7" xfId="6" applyNumberFormat="1" applyFont="1" applyFill="1" applyBorder="1" applyAlignment="1">
      <alignment horizontal="center"/>
    </xf>
    <xf numFmtId="170" fontId="82" fillId="0" borderId="6" xfId="6" applyNumberFormat="1" applyFont="1" applyFill="1" applyBorder="1" applyAlignment="1">
      <alignment horizontal="center"/>
    </xf>
    <xf numFmtId="0" fontId="89" fillId="0" borderId="0" xfId="0" applyFont="1"/>
    <xf numFmtId="0" fontId="82" fillId="10" borderId="60" xfId="0" applyFont="1" applyFill="1" applyBorder="1" applyAlignment="1">
      <alignment horizontal="center" vertical="center"/>
    </xf>
    <xf numFmtId="0" fontId="90" fillId="10" borderId="72" xfId="0" applyFont="1" applyFill="1" applyBorder="1" applyAlignment="1">
      <alignment horizontal="center" vertical="center" wrapText="1"/>
    </xf>
    <xf numFmtId="16" fontId="90" fillId="10" borderId="72" xfId="0" applyNumberFormat="1" applyFont="1" applyFill="1" applyBorder="1" applyAlignment="1">
      <alignment horizontal="center" vertical="center"/>
    </xf>
    <xf numFmtId="0" fontId="85" fillId="0" borderId="81" xfId="0" applyFont="1" applyBorder="1" applyAlignment="1">
      <alignment horizontal="center" vertical="center" wrapText="1"/>
    </xf>
    <xf numFmtId="1" fontId="85" fillId="0" borderId="70" xfId="0" applyNumberFormat="1" applyFont="1" applyBorder="1" applyAlignment="1">
      <alignment horizontal="center" vertical="center" wrapText="1"/>
    </xf>
    <xf numFmtId="16" fontId="85" fillId="0" borderId="70" xfId="0" applyNumberFormat="1" applyFont="1" applyBorder="1" applyAlignment="1">
      <alignment horizontal="center" vertical="center" wrapText="1"/>
    </xf>
    <xf numFmtId="0" fontId="85" fillId="0" borderId="32" xfId="0" applyFont="1" applyBorder="1" applyAlignment="1">
      <alignment horizontal="center" vertical="center" wrapText="1"/>
    </xf>
    <xf numFmtId="1" fontId="90" fillId="0" borderId="1" xfId="0" applyNumberFormat="1" applyFont="1" applyBorder="1" applyAlignment="1">
      <alignment horizontal="center" vertical="center" wrapText="1"/>
    </xf>
    <xf numFmtId="16" fontId="90" fillId="0" borderId="1" xfId="0" applyNumberFormat="1" applyFont="1" applyBorder="1" applyAlignment="1">
      <alignment horizontal="center" vertical="center" wrapText="1"/>
    </xf>
    <xf numFmtId="1" fontId="85" fillId="0" borderId="1" xfId="0" applyNumberFormat="1" applyFont="1" applyBorder="1" applyAlignment="1">
      <alignment horizontal="center" vertical="center" wrapText="1"/>
    </xf>
    <xf numFmtId="16" fontId="85" fillId="0" borderId="1" xfId="0" applyNumberFormat="1" applyFont="1" applyBorder="1" applyAlignment="1">
      <alignment horizontal="center" vertical="center" wrapText="1"/>
    </xf>
    <xf numFmtId="0" fontId="85" fillId="0" borderId="80" xfId="0" applyFont="1" applyBorder="1" applyAlignment="1">
      <alignment horizontal="center" vertical="center" wrapText="1"/>
    </xf>
    <xf numFmtId="1" fontId="85" fillId="0" borderId="71" xfId="0" applyNumberFormat="1" applyFont="1" applyBorder="1" applyAlignment="1">
      <alignment horizontal="center" vertical="center" wrapText="1"/>
    </xf>
    <xf numFmtId="16" fontId="85" fillId="0" borderId="71" xfId="0" applyNumberFormat="1" applyFont="1" applyBorder="1" applyAlignment="1">
      <alignment horizontal="center" vertical="center" wrapText="1"/>
    </xf>
    <xf numFmtId="0" fontId="92" fillId="14" borderId="0" xfId="0" applyFont="1" applyFill="1"/>
    <xf numFmtId="0" fontId="93" fillId="16" borderId="39" xfId="0" applyFont="1" applyFill="1" applyBorder="1"/>
    <xf numFmtId="0" fontId="94" fillId="13" borderId="1" xfId="0" applyFont="1" applyFill="1" applyBorder="1"/>
    <xf numFmtId="0" fontId="95" fillId="15" borderId="1" xfId="0" applyFont="1" applyFill="1" applyBorder="1"/>
    <xf numFmtId="0" fontId="75" fillId="0" borderId="20" xfId="0" applyFont="1" applyBorder="1" applyAlignment="1">
      <alignment vertical="center"/>
    </xf>
    <xf numFmtId="0" fontId="73" fillId="0" borderId="21" xfId="0" applyFont="1" applyBorder="1" applyAlignment="1">
      <alignment vertical="center"/>
    </xf>
    <xf numFmtId="0" fontId="73" fillId="0" borderId="69" xfId="0" applyFont="1" applyBorder="1" applyAlignment="1">
      <alignment vertical="center"/>
    </xf>
    <xf numFmtId="0" fontId="73" fillId="0" borderId="0" xfId="0" applyFont="1" applyBorder="1" applyAlignment="1">
      <alignment vertical="center"/>
    </xf>
    <xf numFmtId="0" fontId="82" fillId="0" borderId="11" xfId="1" applyFont="1" applyFill="1" applyBorder="1" applyAlignment="1">
      <alignment vertical="center"/>
    </xf>
    <xf numFmtId="0" fontId="96" fillId="0" borderId="12" xfId="1" applyFont="1" applyFill="1" applyBorder="1" applyAlignment="1">
      <alignment horizontal="center" vertical="center"/>
    </xf>
    <xf numFmtId="0" fontId="100" fillId="0" borderId="13" xfId="1" applyNumberFormat="1" applyFont="1" applyFill="1" applyBorder="1" applyAlignment="1" applyProtection="1">
      <alignment horizontal="center"/>
    </xf>
    <xf numFmtId="7" fontId="82" fillId="0" borderId="14" xfId="1" applyNumberFormat="1" applyFont="1" applyFill="1" applyBorder="1" applyAlignment="1">
      <alignment horizontal="right" vertical="center"/>
    </xf>
    <xf numFmtId="0" fontId="82" fillId="0" borderId="11" xfId="1" applyFont="1" applyFill="1" applyBorder="1" applyAlignment="1">
      <alignment horizontal="right" vertical="center"/>
    </xf>
    <xf numFmtId="0" fontId="82" fillId="0" borderId="0" xfId="1" applyFont="1" applyFill="1" applyBorder="1" applyAlignment="1">
      <alignment vertical="center"/>
    </xf>
    <xf numFmtId="0" fontId="96" fillId="0" borderId="0" xfId="1" applyFont="1" applyFill="1" applyBorder="1" applyAlignment="1">
      <alignment horizontal="center" vertical="center"/>
    </xf>
    <xf numFmtId="0" fontId="101" fillId="0" borderId="0" xfId="1" applyNumberFormat="1" applyFont="1" applyFill="1" applyBorder="1" applyAlignment="1" applyProtection="1">
      <alignment horizontal="center"/>
    </xf>
    <xf numFmtId="7" fontId="82" fillId="0" borderId="0" xfId="1" applyNumberFormat="1" applyFont="1" applyFill="1" applyBorder="1" applyAlignment="1">
      <alignment horizontal="right" vertical="center"/>
    </xf>
    <xf numFmtId="0" fontId="82" fillId="0" borderId="0" xfId="1" applyFont="1" applyFill="1" applyBorder="1" applyAlignment="1">
      <alignment horizontal="right" vertical="center"/>
    </xf>
    <xf numFmtId="0" fontId="82" fillId="6" borderId="3" xfId="1" applyFont="1" applyFill="1" applyBorder="1" applyAlignment="1">
      <alignment vertical="center"/>
    </xf>
    <xf numFmtId="0" fontId="96" fillId="6" borderId="31" xfId="1" applyFont="1" applyFill="1" applyBorder="1" applyAlignment="1">
      <alignment horizontal="center" vertical="center"/>
    </xf>
    <xf numFmtId="0" fontId="96" fillId="6" borderId="1" xfId="1" applyNumberFormat="1" applyFont="1" applyFill="1" applyBorder="1" applyAlignment="1" applyProtection="1">
      <alignment horizontal="center"/>
    </xf>
    <xf numFmtId="7" fontId="82" fillId="6" borderId="31" xfId="1" applyNumberFormat="1" applyFont="1" applyFill="1" applyBorder="1" applyAlignment="1">
      <alignment horizontal="right" vertical="center"/>
    </xf>
    <xf numFmtId="0" fontId="82" fillId="6" borderId="32" xfId="1" applyFont="1" applyFill="1" applyBorder="1" applyAlignment="1">
      <alignment horizontal="right" vertical="center"/>
    </xf>
    <xf numFmtId="0" fontId="96" fillId="0" borderId="13" xfId="5" applyFont="1" applyBorder="1" applyAlignment="1" applyProtection="1">
      <alignment horizontal="center"/>
      <protection locked="0"/>
    </xf>
    <xf numFmtId="0" fontId="96" fillId="0" borderId="12" xfId="5" applyFont="1" applyBorder="1" applyAlignment="1" applyProtection="1">
      <alignment horizontal="center"/>
      <protection locked="0"/>
    </xf>
    <xf numFmtId="0" fontId="100" fillId="0" borderId="13" xfId="5" applyFont="1" applyBorder="1" applyAlignment="1" applyProtection="1">
      <alignment horizontal="center"/>
      <protection locked="0"/>
    </xf>
    <xf numFmtId="0" fontId="96" fillId="0" borderId="13" xfId="5" applyFont="1" applyBorder="1" applyAlignment="1" applyProtection="1">
      <alignment horizontal="left"/>
      <protection locked="0"/>
    </xf>
    <xf numFmtId="0" fontId="96" fillId="0" borderId="13" xfId="5" applyFont="1" applyBorder="1" applyAlignment="1" applyProtection="1">
      <alignment horizontal="right"/>
      <protection locked="0"/>
    </xf>
    <xf numFmtId="0" fontId="102" fillId="0" borderId="0" xfId="5" applyFont="1" applyProtection="1">
      <protection locked="0"/>
    </xf>
    <xf numFmtId="0" fontId="102" fillId="0" borderId="0" xfId="5" applyFont="1" applyAlignment="1" applyProtection="1">
      <alignment horizontal="center"/>
      <protection locked="0"/>
    </xf>
    <xf numFmtId="14" fontId="103" fillId="0" borderId="0" xfId="5" applyNumberFormat="1" applyFont="1" applyAlignment="1" applyProtection="1">
      <alignment horizontal="left"/>
      <protection locked="0"/>
    </xf>
    <xf numFmtId="0" fontId="102" fillId="0" borderId="12" xfId="5" applyFont="1" applyBorder="1" applyProtection="1">
      <protection locked="0"/>
    </xf>
    <xf numFmtId="0" fontId="102" fillId="0" borderId="13" xfId="5" applyFont="1" applyBorder="1" applyProtection="1">
      <protection locked="0"/>
    </xf>
    <xf numFmtId="14" fontId="103" fillId="0" borderId="13" xfId="5" applyNumberFormat="1" applyFont="1" applyBorder="1" applyAlignment="1" applyProtection="1">
      <alignment horizontal="left"/>
      <protection locked="0"/>
    </xf>
    <xf numFmtId="0" fontId="104" fillId="0" borderId="0" xfId="5" applyFont="1" applyAlignment="1" applyProtection="1">
      <alignment horizontal="right"/>
      <protection locked="0"/>
    </xf>
    <xf numFmtId="0" fontId="105" fillId="0" borderId="3" xfId="0" applyFont="1" applyBorder="1" applyAlignment="1">
      <alignment vertical="center"/>
    </xf>
    <xf numFmtId="0" fontId="106" fillId="0" borderId="31" xfId="0" applyFont="1" applyBorder="1" applyAlignment="1">
      <alignment horizontal="left" vertical="center"/>
    </xf>
    <xf numFmtId="0" fontId="106" fillId="0" borderId="31" xfId="0" applyFont="1" applyBorder="1" applyAlignment="1">
      <alignment vertical="center"/>
    </xf>
    <xf numFmtId="168" fontId="106" fillId="0" borderId="31" xfId="0" applyNumberFormat="1" applyFont="1" applyBorder="1" applyAlignment="1">
      <alignment vertical="center"/>
    </xf>
    <xf numFmtId="168" fontId="106" fillId="0" borderId="32" xfId="0" applyNumberFormat="1" applyFont="1" applyBorder="1" applyAlignment="1">
      <alignment vertical="center"/>
    </xf>
    <xf numFmtId="0" fontId="108" fillId="0" borderId="0" xfId="0" applyFont="1"/>
    <xf numFmtId="0" fontId="78" fillId="0" borderId="79" xfId="0" applyFont="1" applyBorder="1"/>
    <xf numFmtId="0" fontId="78" fillId="0" borderId="86" xfId="0" applyFont="1" applyBorder="1"/>
    <xf numFmtId="0" fontId="78" fillId="0" borderId="86" xfId="0" applyFont="1" applyBorder="1" applyAlignment="1">
      <alignment vertical="center" wrapText="1"/>
    </xf>
    <xf numFmtId="0" fontId="81" fillId="0" borderId="78" xfId="0" applyFont="1" applyBorder="1" applyAlignment="1">
      <alignment vertical="center" wrapText="1"/>
    </xf>
    <xf numFmtId="0" fontId="82" fillId="10" borderId="1" xfId="0" applyFont="1" applyFill="1" applyBorder="1" applyAlignment="1">
      <alignment vertical="center"/>
    </xf>
    <xf numFmtId="0" fontId="82" fillId="10" borderId="1" xfId="0" applyFont="1" applyFill="1" applyBorder="1" applyAlignment="1">
      <alignment horizontal="center" vertical="center"/>
    </xf>
    <xf numFmtId="0" fontId="85"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82" fillId="10" borderId="1" xfId="0" applyFont="1" applyFill="1" applyBorder="1" applyAlignment="1">
      <alignment horizontal="center" vertical="center" wrapText="1"/>
    </xf>
    <xf numFmtId="16" fontId="82" fillId="10" borderId="1" xfId="0" applyNumberFormat="1" applyFont="1" applyFill="1" applyBorder="1" applyAlignment="1">
      <alignment horizontal="center" vertical="center"/>
    </xf>
    <xf numFmtId="1" fontId="71" fillId="0" borderId="1" xfId="0" applyNumberFormat="1" applyFont="1" applyBorder="1" applyAlignment="1">
      <alignment horizontal="center" vertical="center" wrapText="1"/>
    </xf>
    <xf numFmtId="16" fontId="71" fillId="0" borderId="1" xfId="0" applyNumberFormat="1" applyFont="1" applyBorder="1" applyAlignment="1">
      <alignment horizontal="center" vertical="center" wrapText="1"/>
    </xf>
    <xf numFmtId="0" fontId="97" fillId="0" borderId="1" xfId="0" applyFont="1" applyBorder="1" applyAlignment="1">
      <alignment horizontal="left" vertical="center"/>
    </xf>
    <xf numFmtId="0" fontId="97" fillId="0" borderId="1" xfId="0" applyFont="1" applyBorder="1" applyAlignment="1">
      <alignment horizontal="center" vertical="center"/>
    </xf>
    <xf numFmtId="0" fontId="97" fillId="0" borderId="1" xfId="0" applyFont="1" applyBorder="1" applyAlignment="1">
      <alignment horizontal="right" vertical="center"/>
    </xf>
    <xf numFmtId="0" fontId="97" fillId="0" borderId="1" xfId="0" applyFont="1" applyBorder="1" applyAlignment="1" applyProtection="1">
      <alignment horizontal="right" vertical="center"/>
      <protection locked="0"/>
    </xf>
    <xf numFmtId="0" fontId="85" fillId="0" borderId="1" xfId="0" applyFont="1" applyBorder="1" applyAlignment="1">
      <alignment horizontal="center" vertical="center"/>
    </xf>
    <xf numFmtId="0" fontId="71" fillId="0" borderId="1" xfId="0" applyFont="1" applyBorder="1" applyAlignment="1">
      <alignment horizontal="center" vertical="center"/>
    </xf>
    <xf numFmtId="0" fontId="80" fillId="6" borderId="89" xfId="1" applyFont="1" applyFill="1" applyBorder="1" applyAlignment="1">
      <alignment horizontal="left" vertical="center"/>
    </xf>
    <xf numFmtId="0" fontId="96" fillId="6" borderId="90" xfId="1" applyFont="1" applyFill="1" applyBorder="1" applyAlignment="1">
      <alignment horizontal="center" vertical="center"/>
    </xf>
    <xf numFmtId="0" fontId="97" fillId="6" borderId="108" xfId="5" applyFont="1" applyFill="1" applyBorder="1" applyAlignment="1" applyProtection="1">
      <alignment horizontal="center"/>
      <protection locked="0"/>
    </xf>
    <xf numFmtId="14" fontId="98" fillId="6" borderId="108" xfId="1" applyNumberFormat="1" applyFont="1" applyFill="1" applyBorder="1" applyAlignment="1">
      <alignment horizontal="right" vertical="center"/>
    </xf>
    <xf numFmtId="0" fontId="80" fillId="6" borderId="1" xfId="1" applyFont="1" applyFill="1" applyBorder="1" applyAlignment="1">
      <alignment horizontal="center" vertical="center"/>
    </xf>
    <xf numFmtId="0" fontId="80" fillId="6" borderId="1" xfId="5" applyFont="1" applyFill="1" applyBorder="1" applyAlignment="1" applyProtection="1">
      <alignment horizontal="center" vertical="center"/>
      <protection locked="0"/>
    </xf>
    <xf numFmtId="14" fontId="80" fillId="6" borderId="1" xfId="1" applyNumberFormat="1" applyFont="1" applyFill="1" applyBorder="1" applyAlignment="1">
      <alignment horizontal="center" vertical="center"/>
    </xf>
    <xf numFmtId="0" fontId="99" fillId="6" borderId="1" xfId="1" applyFont="1" applyFill="1" applyBorder="1" applyAlignment="1">
      <alignment horizontal="center" vertical="center"/>
    </xf>
    <xf numFmtId="0" fontId="99" fillId="6" borderId="1" xfId="5" applyFont="1" applyFill="1" applyBorder="1" applyAlignment="1" applyProtection="1">
      <alignment horizontal="center" vertical="center"/>
      <protection locked="0"/>
    </xf>
    <xf numFmtId="14" fontId="99" fillId="6" borderId="1" xfId="1" applyNumberFormat="1" applyFont="1" applyFill="1" applyBorder="1" applyAlignment="1">
      <alignment horizontal="center" vertical="center"/>
    </xf>
    <xf numFmtId="0" fontId="97" fillId="6" borderId="108" xfId="1" applyNumberFormat="1" applyFont="1" applyFill="1" applyBorder="1" applyAlignment="1" applyProtection="1">
      <alignment horizontal="center"/>
    </xf>
    <xf numFmtId="0" fontId="115" fillId="0" borderId="0" xfId="0" applyFont="1"/>
    <xf numFmtId="172" fontId="120" fillId="16" borderId="78" xfId="0" applyNumberFormat="1" applyFont="1" applyFill="1" applyBorder="1" applyAlignment="1">
      <alignment horizontal="center" vertical="center"/>
    </xf>
    <xf numFmtId="1" fontId="71" fillId="16" borderId="5" xfId="0" applyNumberFormat="1" applyFont="1" applyFill="1" applyBorder="1" applyAlignment="1">
      <alignment horizontal="center" vertical="center"/>
    </xf>
    <xf numFmtId="1" fontId="71" fillId="9" borderId="66" xfId="0" applyNumberFormat="1" applyFont="1" applyFill="1" applyBorder="1" applyAlignment="1">
      <alignment horizontal="center" vertical="center"/>
    </xf>
    <xf numFmtId="9" fontId="71" fillId="16" borderId="66" xfId="0" applyNumberFormat="1" applyFont="1" applyFill="1" applyBorder="1" applyAlignment="1">
      <alignment horizontal="center" vertical="center"/>
    </xf>
    <xf numFmtId="0" fontId="71" fillId="0" borderId="66" xfId="0" applyFont="1" applyBorder="1" applyAlignment="1">
      <alignment horizontal="center" vertical="center"/>
    </xf>
    <xf numFmtId="0" fontId="71" fillId="0" borderId="49" xfId="0" applyFont="1" applyBorder="1" applyAlignment="1">
      <alignment horizontal="center"/>
    </xf>
    <xf numFmtId="171" fontId="121" fillId="16" borderId="77" xfId="0" applyNumberFormat="1" applyFont="1" applyFill="1" applyBorder="1" applyAlignment="1">
      <alignment horizontal="center" vertical="center"/>
    </xf>
    <xf numFmtId="171" fontId="121" fillId="16" borderId="106" xfId="0" applyNumberFormat="1" applyFont="1" applyFill="1" applyBorder="1" applyAlignment="1">
      <alignment horizontal="center" vertical="center"/>
    </xf>
    <xf numFmtId="0" fontId="122" fillId="15" borderId="22" xfId="0" applyFont="1" applyFill="1" applyBorder="1" applyAlignment="1">
      <alignment horizontal="center" vertical="center"/>
    </xf>
    <xf numFmtId="0" fontId="122" fillId="15" borderId="79" xfId="0" applyFont="1" applyFill="1" applyBorder="1" applyAlignment="1">
      <alignment horizontal="center" vertical="center"/>
    </xf>
    <xf numFmtId="0" fontId="122" fillId="0" borderId="91" xfId="0" applyFont="1" applyBorder="1" applyAlignment="1">
      <alignment horizontal="center" vertical="center"/>
    </xf>
    <xf numFmtId="0" fontId="122" fillId="0" borderId="76" xfId="0" applyFont="1" applyBorder="1" applyAlignment="1">
      <alignment horizontal="center" vertical="center"/>
    </xf>
    <xf numFmtId="9" fontId="122" fillId="15" borderId="75" xfId="0" applyNumberFormat="1" applyFont="1" applyFill="1" applyBorder="1" applyAlignment="1">
      <alignment horizontal="center" vertical="center"/>
    </xf>
    <xf numFmtId="0" fontId="122" fillId="0" borderId="107" xfId="0" applyFont="1" applyBorder="1" applyAlignment="1">
      <alignment horizontal="center" vertical="center"/>
    </xf>
    <xf numFmtId="0" fontId="122" fillId="0" borderId="74" xfId="0" applyFont="1" applyBorder="1" applyAlignment="1">
      <alignment horizontal="center" vertical="center"/>
    </xf>
    <xf numFmtId="0" fontId="122" fillId="0" borderId="5" xfId="0" applyFont="1" applyBorder="1" applyAlignment="1">
      <alignment horizontal="center" vertical="center"/>
    </xf>
    <xf numFmtId="1" fontId="125" fillId="0" borderId="1" xfId="0" applyNumberFormat="1" applyFont="1" applyBorder="1" applyAlignment="1">
      <alignment horizontal="center" vertical="center" wrapText="1"/>
    </xf>
    <xf numFmtId="16" fontId="125" fillId="0" borderId="1" xfId="0" applyNumberFormat="1" applyFont="1" applyBorder="1" applyAlignment="1">
      <alignment horizontal="center" vertical="center" wrapText="1"/>
    </xf>
    <xf numFmtId="0" fontId="53" fillId="6" borderId="1" xfId="1" applyFont="1" applyFill="1" applyBorder="1" applyAlignment="1">
      <alignment horizontal="center" vertical="center"/>
    </xf>
    <xf numFmtId="0" fontId="53" fillId="6" borderId="1" xfId="5" applyFont="1" applyFill="1" applyBorder="1" applyAlignment="1" applyProtection="1">
      <alignment horizontal="center" vertical="center"/>
      <protection locked="0"/>
    </xf>
    <xf numFmtId="14" fontId="53" fillId="6" borderId="1" xfId="1" applyNumberFormat="1" applyFont="1" applyFill="1" applyBorder="1" applyAlignment="1">
      <alignment horizontal="center" vertical="center"/>
    </xf>
    <xf numFmtId="0" fontId="128" fillId="0" borderId="7" xfId="0" applyFont="1" applyBorder="1" applyAlignment="1">
      <alignment horizontal="center" vertical="center"/>
    </xf>
    <xf numFmtId="0" fontId="110" fillId="19" borderId="82" xfId="0" applyFont="1" applyFill="1" applyBorder="1" applyAlignment="1">
      <alignment horizontal="center" vertical="center" wrapText="1"/>
    </xf>
    <xf numFmtId="0" fontId="110" fillId="19" borderId="83" xfId="0" applyFont="1" applyFill="1" applyBorder="1" applyAlignment="1">
      <alignment horizontal="center" vertical="center" wrapText="1"/>
    </xf>
    <xf numFmtId="0" fontId="110" fillId="19" borderId="84" xfId="0" applyFont="1" applyFill="1" applyBorder="1" applyAlignment="1">
      <alignment horizontal="center" vertical="center" wrapText="1"/>
    </xf>
    <xf numFmtId="173" fontId="111" fillId="18" borderId="1" xfId="0" applyNumberFormat="1" applyFont="1" applyFill="1" applyBorder="1" applyAlignment="1">
      <alignment horizontal="center" vertical="center" wrapText="1"/>
    </xf>
    <xf numFmtId="0" fontId="111" fillId="18" borderId="1" xfId="0" applyFont="1" applyFill="1" applyBorder="1" applyAlignment="1">
      <alignment horizontal="center" vertical="center" wrapText="1"/>
    </xf>
    <xf numFmtId="1" fontId="117" fillId="6" borderId="1" xfId="0" applyNumberFormat="1" applyFont="1" applyFill="1" applyBorder="1" applyAlignment="1">
      <alignment horizontal="center" vertical="center" wrapText="1"/>
    </xf>
    <xf numFmtId="173" fontId="117" fillId="6" borderId="1" xfId="0" applyNumberFormat="1" applyFont="1" applyFill="1" applyBorder="1" applyAlignment="1">
      <alignment horizontal="center" vertical="center" wrapText="1"/>
    </xf>
    <xf numFmtId="0" fontId="116" fillId="6" borderId="1" xfId="0" applyFont="1" applyFill="1" applyBorder="1" applyAlignment="1">
      <alignment horizontal="center" vertical="center" wrapText="1"/>
    </xf>
    <xf numFmtId="0" fontId="118" fillId="6" borderId="1" xfId="0" applyFont="1" applyFill="1" applyBorder="1" applyAlignment="1">
      <alignment horizontal="center" vertical="center" wrapText="1"/>
    </xf>
    <xf numFmtId="0" fontId="117" fillId="6" borderId="1" xfId="0" applyFont="1" applyFill="1" applyBorder="1" applyAlignment="1">
      <alignment horizontal="center" vertical="center" wrapText="1"/>
    </xf>
    <xf numFmtId="0" fontId="124" fillId="6" borderId="1" xfId="0" applyFont="1" applyFill="1" applyBorder="1" applyAlignment="1">
      <alignment horizontal="center" vertical="center" wrapText="1"/>
    </xf>
    <xf numFmtId="1" fontId="111" fillId="18" borderId="1" xfId="0" applyNumberFormat="1" applyFont="1" applyFill="1" applyBorder="1" applyAlignment="1">
      <alignment horizontal="center" vertical="center" wrapText="1"/>
    </xf>
    <xf numFmtId="20" fontId="111" fillId="18" borderId="72" xfId="0" applyNumberFormat="1" applyFont="1" applyFill="1" applyBorder="1" applyAlignment="1">
      <alignment horizontal="center" vertical="center" wrapText="1"/>
    </xf>
    <xf numFmtId="0" fontId="112" fillId="18" borderId="1" xfId="0" applyFont="1" applyFill="1" applyBorder="1" applyAlignment="1">
      <alignment horizontal="center" vertical="center" wrapText="1"/>
    </xf>
    <xf numFmtId="1" fontId="111" fillId="6" borderId="1" xfId="0" applyNumberFormat="1" applyFont="1" applyFill="1" applyBorder="1" applyAlignment="1">
      <alignment horizontal="center" vertical="center" wrapText="1"/>
    </xf>
    <xf numFmtId="173" fontId="111" fillId="6" borderId="1" xfId="0" applyNumberFormat="1" applyFont="1" applyFill="1" applyBorder="1" applyAlignment="1">
      <alignment horizontal="center" vertical="center" wrapText="1"/>
    </xf>
    <xf numFmtId="0" fontId="111" fillId="6" borderId="1" xfId="0" applyFont="1" applyFill="1" applyBorder="1" applyAlignment="1">
      <alignment horizontal="center" vertical="center" wrapText="1"/>
    </xf>
    <xf numFmtId="0" fontId="112" fillId="6" borderId="1" xfId="0" applyFont="1" applyFill="1" applyBorder="1" applyAlignment="1">
      <alignment horizontal="center" vertical="center" wrapText="1"/>
    </xf>
    <xf numFmtId="0" fontId="123" fillId="6" borderId="70" xfId="0" applyFont="1" applyFill="1" applyBorder="1" applyAlignment="1">
      <alignment horizontal="center" vertical="center" wrapText="1"/>
    </xf>
    <xf numFmtId="0" fontId="116" fillId="6" borderId="32" xfId="0" applyFont="1" applyFill="1" applyBorder="1" applyAlignment="1">
      <alignment horizontal="center" vertical="center" wrapText="1"/>
    </xf>
    <xf numFmtId="0" fontId="111" fillId="18" borderId="32" xfId="0" applyFont="1" applyFill="1" applyBorder="1" applyAlignment="1">
      <alignment horizontal="center" vertical="center" wrapText="1"/>
    </xf>
    <xf numFmtId="0" fontId="111" fillId="6" borderId="32" xfId="0" applyFont="1" applyFill="1" applyBorder="1" applyAlignment="1">
      <alignment horizontal="center" vertical="center" wrapText="1"/>
    </xf>
    <xf numFmtId="0" fontId="123" fillId="6" borderId="81" xfId="0" applyFont="1" applyFill="1" applyBorder="1" applyAlignment="1">
      <alignment horizontal="center" vertical="center" wrapText="1"/>
    </xf>
    <xf numFmtId="0" fontId="110" fillId="19" borderId="17" xfId="0" applyFont="1" applyFill="1" applyBorder="1" applyAlignment="1">
      <alignment horizontal="center" vertical="center" wrapText="1"/>
    </xf>
    <xf numFmtId="20" fontId="117" fillId="6" borderId="1" xfId="0" applyNumberFormat="1" applyFont="1" applyFill="1" applyBorder="1" applyAlignment="1">
      <alignment horizontal="center" vertical="center" wrapText="1"/>
    </xf>
    <xf numFmtId="20" fontId="111" fillId="6" borderId="1" xfId="0" applyNumberFormat="1" applyFont="1" applyFill="1" applyBorder="1" applyAlignment="1">
      <alignment horizontal="center" vertical="center" wrapText="1"/>
    </xf>
    <xf numFmtId="20" fontId="111" fillId="18" borderId="1" xfId="0" applyNumberFormat="1" applyFont="1" applyFill="1" applyBorder="1" applyAlignment="1">
      <alignment horizontal="center" vertical="center" wrapText="1"/>
    </xf>
    <xf numFmtId="20" fontId="111" fillId="6" borderId="72" xfId="0" applyNumberFormat="1" applyFont="1" applyFill="1" applyBorder="1" applyAlignment="1">
      <alignment horizontal="center" vertical="center" wrapText="1"/>
    </xf>
    <xf numFmtId="20" fontId="111" fillId="6" borderId="50" xfId="0" applyNumberFormat="1" applyFont="1" applyFill="1" applyBorder="1" applyAlignment="1">
      <alignment horizontal="center" vertical="center" wrapText="1"/>
    </xf>
    <xf numFmtId="1" fontId="129" fillId="18" borderId="1" xfId="0" applyNumberFormat="1" applyFont="1" applyFill="1" applyBorder="1" applyAlignment="1">
      <alignment horizontal="center" vertical="center" wrapText="1"/>
    </xf>
    <xf numFmtId="173" fontId="129" fillId="18" borderId="1" xfId="0" applyNumberFormat="1" applyFont="1" applyFill="1" applyBorder="1" applyAlignment="1">
      <alignment horizontal="center" vertical="center" wrapText="1"/>
    </xf>
    <xf numFmtId="0" fontId="129" fillId="18" borderId="1" xfId="0" applyFont="1" applyFill="1" applyBorder="1" applyAlignment="1">
      <alignment horizontal="center" vertical="center" wrapText="1"/>
    </xf>
    <xf numFmtId="20" fontId="129" fillId="18" borderId="72" xfId="0" applyNumberFormat="1" applyFont="1" applyFill="1" applyBorder="1" applyAlignment="1">
      <alignment horizontal="center" vertical="center" wrapText="1"/>
    </xf>
    <xf numFmtId="0" fontId="129" fillId="18" borderId="32" xfId="0" applyFont="1" applyFill="1" applyBorder="1" applyAlignment="1">
      <alignment horizontal="center" vertical="center" wrapText="1"/>
    </xf>
    <xf numFmtId="0" fontId="130" fillId="18" borderId="1" xfId="0" applyFont="1" applyFill="1" applyBorder="1" applyAlignment="1">
      <alignment horizontal="center" vertical="center" wrapText="1"/>
    </xf>
    <xf numFmtId="0" fontId="88" fillId="0" borderId="89" xfId="0" applyFont="1" applyBorder="1" applyAlignment="1">
      <alignment horizontal="center" vertical="center"/>
    </xf>
    <xf numFmtId="0" fontId="88" fillId="0" borderId="90" xfId="0" applyFont="1" applyBorder="1" applyAlignment="1">
      <alignment horizontal="center" vertical="center"/>
    </xf>
    <xf numFmtId="0" fontId="88" fillId="0" borderId="69" xfId="0" applyFont="1" applyBorder="1" applyAlignment="1">
      <alignment horizontal="center" vertical="center"/>
    </xf>
    <xf numFmtId="0" fontId="88" fillId="0" borderId="0" xfId="0" applyFont="1" applyBorder="1" applyAlignment="1">
      <alignment horizontal="center" vertical="center"/>
    </xf>
    <xf numFmtId="0" fontId="88" fillId="0" borderId="28" xfId="0" applyFont="1" applyBorder="1" applyAlignment="1">
      <alignment horizontal="center" vertical="center"/>
    </xf>
    <xf numFmtId="0" fontId="88" fillId="0" borderId="40" xfId="0" applyFont="1" applyBorder="1" applyAlignment="1">
      <alignment horizontal="center" vertical="center"/>
    </xf>
    <xf numFmtId="0" fontId="85" fillId="0" borderId="87" xfId="0" applyFont="1" applyBorder="1" applyAlignment="1">
      <alignment horizontal="center" vertical="center"/>
    </xf>
    <xf numFmtId="0" fontId="119" fillId="13" borderId="20" xfId="0" applyFont="1" applyFill="1" applyBorder="1" applyAlignment="1">
      <alignment horizontal="center"/>
    </xf>
    <xf numFmtId="0" fontId="119" fillId="13" borderId="21" xfId="0" applyFont="1" applyFill="1" applyBorder="1" applyAlignment="1">
      <alignment horizontal="center"/>
    </xf>
    <xf numFmtId="0" fontId="119" fillId="13" borderId="69" xfId="0" applyFont="1" applyFill="1" applyBorder="1" applyAlignment="1">
      <alignment horizontal="center"/>
    </xf>
    <xf numFmtId="0" fontId="119" fillId="13" borderId="0" xfId="0" applyFont="1" applyFill="1" applyBorder="1" applyAlignment="1">
      <alignment horizontal="center"/>
    </xf>
    <xf numFmtId="0" fontId="119" fillId="13" borderId="73" xfId="0" applyFont="1" applyFill="1" applyBorder="1" applyAlignment="1">
      <alignment horizontal="center"/>
    </xf>
    <xf numFmtId="0" fontId="119" fillId="13" borderId="6" xfId="0" applyFont="1" applyFill="1" applyBorder="1" applyAlignment="1">
      <alignment horizontal="center"/>
    </xf>
    <xf numFmtId="0" fontId="88" fillId="14" borderId="92" xfId="0" applyFont="1" applyFill="1" applyBorder="1" applyAlignment="1">
      <alignment horizontal="center"/>
    </xf>
    <xf numFmtId="0" fontId="88" fillId="14" borderId="93" xfId="0" applyFont="1" applyFill="1" applyBorder="1" applyAlignment="1">
      <alignment horizontal="center"/>
    </xf>
    <xf numFmtId="0" fontId="88" fillId="0" borderId="92" xfId="0" applyFont="1" applyBorder="1" applyAlignment="1">
      <alignment horizontal="center"/>
    </xf>
    <xf numFmtId="0" fontId="88" fillId="0" borderId="93" xfId="0" applyFont="1" applyBorder="1" applyAlignment="1">
      <alignment horizontal="center"/>
    </xf>
    <xf numFmtId="0" fontId="85" fillId="0" borderId="3" xfId="0" applyFont="1" applyBorder="1" applyAlignment="1">
      <alignment horizontal="center" vertical="center"/>
    </xf>
    <xf numFmtId="14" fontId="83" fillId="0" borderId="73" xfId="0" applyNumberFormat="1" applyFont="1" applyBorder="1" applyAlignment="1">
      <alignment horizontal="center" vertical="center"/>
    </xf>
    <xf numFmtId="14" fontId="83" fillId="0" borderId="6" xfId="0" applyNumberFormat="1" applyFont="1" applyBorder="1" applyAlignment="1">
      <alignment horizontal="center" vertical="center"/>
    </xf>
    <xf numFmtId="0" fontId="82" fillId="10" borderId="100" xfId="0" applyFont="1" applyFill="1" applyBorder="1" applyAlignment="1">
      <alignment horizontal="center" vertical="center"/>
    </xf>
    <xf numFmtId="0" fontId="131" fillId="0" borderId="69" xfId="0" applyFont="1" applyBorder="1" applyAlignment="1">
      <alignment horizontal="left" wrapText="1"/>
    </xf>
    <xf numFmtId="0" fontId="134" fillId="21" borderId="1" xfId="0" applyFont="1" applyFill="1" applyBorder="1"/>
    <xf numFmtId="0" fontId="135" fillId="0" borderId="1" xfId="0" applyFont="1" applyBorder="1"/>
    <xf numFmtId="18" fontId="135" fillId="0" borderId="1" xfId="0" applyNumberFormat="1" applyFont="1" applyBorder="1"/>
    <xf numFmtId="0" fontId="135" fillId="0" borderId="70" xfId="0" applyFont="1" applyBorder="1"/>
    <xf numFmtId="0" fontId="135" fillId="0" borderId="70" xfId="0" applyFont="1" applyBorder="1" applyAlignment="1">
      <alignment horizontal="center"/>
    </xf>
    <xf numFmtId="173" fontId="112" fillId="6" borderId="70" xfId="0" applyNumberFormat="1" applyFont="1" applyFill="1" applyBorder="1" applyAlignment="1">
      <alignment horizontal="center" vertical="center" wrapText="1"/>
    </xf>
    <xf numFmtId="0" fontId="112" fillId="6" borderId="1" xfId="0" applyFont="1" applyFill="1" applyBorder="1" applyAlignment="1">
      <alignment wrapText="1"/>
    </xf>
    <xf numFmtId="14" fontId="136" fillId="16" borderId="39" xfId="0" applyNumberFormat="1" applyFont="1" applyFill="1" applyBorder="1" applyAlignment="1">
      <alignment horizontal="left"/>
    </xf>
    <xf numFmtId="0" fontId="94" fillId="15" borderId="39" xfId="0" applyFont="1" applyFill="1" applyBorder="1" applyAlignment="1">
      <alignment horizontal="left" vertical="center"/>
    </xf>
    <xf numFmtId="0" fontId="105" fillId="14" borderId="39" xfId="0" applyFont="1" applyFill="1" applyBorder="1" applyAlignment="1">
      <alignment horizontal="left" vertical="center"/>
    </xf>
    <xf numFmtId="0" fontId="89" fillId="14" borderId="39" xfId="0" applyFont="1" applyFill="1" applyBorder="1" applyAlignment="1">
      <alignment horizontal="left" vertical="center"/>
    </xf>
    <xf numFmtId="0" fontId="135" fillId="0" borderId="1" xfId="0" applyFont="1" applyBorder="1" applyAlignment="1">
      <alignment horizontal="center"/>
    </xf>
    <xf numFmtId="16" fontId="135" fillId="0" borderId="1" xfId="0" applyNumberFormat="1" applyFont="1" applyBorder="1" applyAlignment="1">
      <alignment horizontal="center"/>
    </xf>
    <xf numFmtId="18" fontId="135" fillId="0" borderId="1" xfId="0" applyNumberFormat="1" applyFont="1" applyBorder="1" applyAlignment="1">
      <alignment horizontal="center"/>
    </xf>
    <xf numFmtId="20" fontId="135" fillId="0" borderId="1" xfId="0" applyNumberFormat="1" applyFont="1" applyBorder="1" applyAlignment="1">
      <alignment horizontal="center"/>
    </xf>
    <xf numFmtId="0" fontId="80" fillId="6" borderId="1" xfId="1" quotePrefix="1" applyFont="1" applyFill="1" applyBorder="1" applyAlignment="1">
      <alignment horizontal="center" vertical="center"/>
    </xf>
    <xf numFmtId="0" fontId="126" fillId="6" borderId="1" xfId="0" applyFont="1" applyFill="1" applyBorder="1" applyAlignment="1">
      <alignment horizontal="center"/>
    </xf>
    <xf numFmtId="14" fontId="126" fillId="6" borderId="1" xfId="0" applyNumberFormat="1" applyFont="1" applyFill="1" applyBorder="1" applyAlignment="1">
      <alignment horizontal="center"/>
    </xf>
    <xf numFmtId="14" fontId="126" fillId="6" borderId="1" xfId="0" applyNumberFormat="1" applyFont="1" applyFill="1" applyBorder="1" applyAlignment="1" applyProtection="1">
      <alignment horizontal="center"/>
      <protection locked="0"/>
    </xf>
    <xf numFmtId="0" fontId="126" fillId="6" borderId="1" xfId="3" applyFont="1" applyFill="1" applyBorder="1" applyAlignment="1" applyProtection="1">
      <alignment horizontal="center"/>
    </xf>
    <xf numFmtId="0" fontId="126" fillId="6" borderId="1" xfId="0" applyFont="1" applyFill="1" applyBorder="1" applyAlignment="1" applyProtection="1">
      <alignment horizontal="center"/>
      <protection locked="0"/>
    </xf>
    <xf numFmtId="0" fontId="127" fillId="6" borderId="1" xfId="0" applyFont="1" applyFill="1" applyBorder="1" applyAlignment="1">
      <alignment horizontal="center" vertical="center"/>
    </xf>
    <xf numFmtId="168" fontId="127" fillId="6" borderId="1" xfId="0" applyNumberFormat="1" applyFont="1" applyFill="1" applyBorder="1" applyAlignment="1">
      <alignment horizontal="center" vertical="center"/>
    </xf>
    <xf numFmtId="20" fontId="71" fillId="0" borderId="1" xfId="0" applyNumberFormat="1" applyFont="1" applyBorder="1" applyAlignment="1">
      <alignment horizontal="center" vertical="center" wrapText="1"/>
    </xf>
    <xf numFmtId="174" fontId="71" fillId="0" borderId="1" xfId="0" applyNumberFormat="1" applyFont="1" applyBorder="1" applyAlignment="1">
      <alignment horizontal="center" vertical="center" wrapText="1"/>
    </xf>
    <xf numFmtId="0" fontId="0" fillId="0" borderId="1" xfId="0" applyBorder="1" applyAlignment="1">
      <alignment horizontal="center"/>
    </xf>
    <xf numFmtId="0" fontId="135" fillId="0" borderId="1" xfId="0" applyNumberFormat="1" applyFont="1" applyBorder="1" applyAlignment="1">
      <alignment horizontal="center"/>
    </xf>
    <xf numFmtId="0" fontId="135" fillId="0" borderId="1" xfId="0" applyNumberFormat="1" applyFont="1" applyBorder="1"/>
    <xf numFmtId="0" fontId="134" fillId="21" borderId="72" xfId="0" applyFont="1" applyFill="1" applyBorder="1"/>
    <xf numFmtId="0" fontId="0" fillId="22" borderId="0" xfId="0" applyFill="1"/>
    <xf numFmtId="0" fontId="137" fillId="18" borderId="1" xfId="0" applyFont="1" applyFill="1" applyBorder="1" applyAlignment="1">
      <alignment horizontal="center" vertical="center" wrapText="1"/>
    </xf>
    <xf numFmtId="0" fontId="0" fillId="24" borderId="0" xfId="0" applyFill="1"/>
    <xf numFmtId="0" fontId="135" fillId="0" borderId="0" xfId="0" applyFont="1" applyFill="1" applyBorder="1" applyAlignment="1">
      <alignment horizontal="center"/>
    </xf>
    <xf numFmtId="18" fontId="135" fillId="0" borderId="0" xfId="0" applyNumberFormat="1" applyFont="1" applyFill="1" applyBorder="1" applyAlignment="1">
      <alignment horizontal="center"/>
    </xf>
    <xf numFmtId="0" fontId="135" fillId="0" borderId="0" xfId="0" applyFont="1" applyFill="1" applyBorder="1"/>
    <xf numFmtId="0" fontId="138" fillId="0" borderId="0" xfId="0" applyFont="1" applyFill="1" applyBorder="1"/>
    <xf numFmtId="0" fontId="57" fillId="0" borderId="0" xfId="0" applyFont="1"/>
    <xf numFmtId="0" fontId="138" fillId="0" borderId="1" xfId="0" applyFont="1" applyFill="1" applyBorder="1"/>
    <xf numFmtId="0" fontId="138" fillId="0" borderId="0" xfId="0" applyFont="1" applyFill="1" applyBorder="1" applyAlignment="1">
      <alignment horizontal="right"/>
    </xf>
    <xf numFmtId="0" fontId="135" fillId="0" borderId="0" xfId="0" applyFont="1" applyFill="1" applyBorder="1" applyAlignment="1">
      <alignment horizontal="right"/>
    </xf>
    <xf numFmtId="0" fontId="0" fillId="0" borderId="0" xfId="0" applyAlignment="1">
      <alignment horizontal="right"/>
    </xf>
    <xf numFmtId="0" fontId="57" fillId="0" borderId="1" xfId="0" applyFont="1" applyBorder="1"/>
    <xf numFmtId="20" fontId="138" fillId="0" borderId="1" xfId="0" applyNumberFormat="1" applyFont="1" applyFill="1" applyBorder="1"/>
    <xf numFmtId="0" fontId="135" fillId="0" borderId="72" xfId="0" applyFont="1" applyFill="1" applyBorder="1" applyAlignment="1">
      <alignment horizontal="center"/>
    </xf>
    <xf numFmtId="0" fontId="133" fillId="20" borderId="115" xfId="0" applyFont="1" applyFill="1" applyBorder="1" applyAlignment="1">
      <alignment horizontal="center" vertical="center"/>
    </xf>
    <xf numFmtId="0" fontId="133" fillId="20" borderId="45" xfId="0" applyFont="1" applyFill="1" applyBorder="1" applyAlignment="1">
      <alignment horizontal="center" vertical="center"/>
    </xf>
    <xf numFmtId="0" fontId="133" fillId="20" borderId="116" xfId="0" applyFont="1" applyFill="1" applyBorder="1" applyAlignment="1">
      <alignment horizontal="center" vertical="center"/>
    </xf>
    <xf numFmtId="0" fontId="133" fillId="20" borderId="117" xfId="0" applyFont="1" applyFill="1" applyBorder="1" applyAlignment="1">
      <alignment horizontal="center" vertical="center"/>
    </xf>
    <xf numFmtId="0" fontId="135" fillId="0" borderId="115" xfId="0" applyFont="1" applyBorder="1" applyAlignment="1">
      <alignment horizontal="center" vertical="center"/>
    </xf>
    <xf numFmtId="0" fontId="135" fillId="0" borderId="45" xfId="0" applyFont="1" applyBorder="1" applyAlignment="1">
      <alignment horizontal="center" vertical="center"/>
    </xf>
    <xf numFmtId="0" fontId="135" fillId="0" borderId="118" xfId="0" applyFont="1" applyBorder="1" applyAlignment="1">
      <alignment horizontal="center" vertical="center"/>
    </xf>
    <xf numFmtId="0" fontId="135" fillId="0" borderId="0" xfId="0" applyFont="1" applyBorder="1" applyAlignment="1">
      <alignment horizontal="center" vertical="center"/>
    </xf>
    <xf numFmtId="0" fontId="85" fillId="0" borderId="109" xfId="0" applyFont="1" applyBorder="1" applyAlignment="1">
      <alignment horizontal="center" vertical="center" wrapText="1"/>
    </xf>
    <xf numFmtId="0" fontId="85" fillId="0" borderId="110" xfId="0" applyFont="1" applyBorder="1" applyAlignment="1">
      <alignment horizontal="center" vertical="center" wrapText="1"/>
    </xf>
    <xf numFmtId="0" fontId="91" fillId="0" borderId="8" xfId="0" applyFont="1" applyBorder="1" applyAlignment="1">
      <alignment horizontal="center" vertical="center"/>
    </xf>
    <xf numFmtId="0" fontId="91" fillId="0" borderId="10" xfId="0" applyFont="1" applyBorder="1" applyAlignment="1">
      <alignment horizontal="center" vertical="center"/>
    </xf>
    <xf numFmtId="0" fontId="87" fillId="9" borderId="8" xfId="0" applyFont="1" applyFill="1" applyBorder="1" applyAlignment="1">
      <alignment horizontal="center"/>
    </xf>
    <xf numFmtId="0" fontId="87" fillId="9" borderId="10" xfId="0" applyFont="1" applyFill="1" applyBorder="1" applyAlignment="1">
      <alignment horizontal="center"/>
    </xf>
    <xf numFmtId="14" fontId="87" fillId="9" borderId="8" xfId="0" applyNumberFormat="1" applyFont="1" applyFill="1" applyBorder="1" applyAlignment="1">
      <alignment horizontal="center"/>
    </xf>
    <xf numFmtId="14" fontId="87" fillId="9" borderId="10" xfId="0" applyNumberFormat="1" applyFont="1" applyFill="1" applyBorder="1" applyAlignment="1">
      <alignment horizontal="center"/>
    </xf>
    <xf numFmtId="0" fontId="84" fillId="0" borderId="112" xfId="0" applyFont="1" applyBorder="1" applyAlignment="1">
      <alignment horizontal="left" vertical="center"/>
    </xf>
    <xf numFmtId="0" fontId="84" fillId="0" borderId="113" xfId="0" applyFont="1" applyBorder="1" applyAlignment="1">
      <alignment horizontal="left" vertical="center"/>
    </xf>
    <xf numFmtId="0" fontId="84" fillId="0" borderId="114" xfId="0" applyFont="1" applyBorder="1" applyAlignment="1">
      <alignment horizontal="left" vertical="center"/>
    </xf>
    <xf numFmtId="0" fontId="85" fillId="0" borderId="85" xfId="0" applyFont="1" applyBorder="1" applyAlignment="1">
      <alignment horizontal="center" vertical="center" wrapText="1"/>
    </xf>
    <xf numFmtId="0" fontId="85" fillId="0" borderId="32" xfId="0" applyFont="1" applyBorder="1" applyAlignment="1">
      <alignment horizontal="center" vertical="center" wrapText="1"/>
    </xf>
    <xf numFmtId="0" fontId="84" fillId="0" borderId="94" xfId="0" applyFont="1" applyBorder="1" applyAlignment="1">
      <alignment horizontal="left" vertical="center"/>
    </xf>
    <xf numFmtId="0" fontId="84" fillId="0" borderId="95" xfId="0" applyFont="1" applyBorder="1" applyAlignment="1">
      <alignment horizontal="left" vertical="center"/>
    </xf>
    <xf numFmtId="0" fontId="84" fillId="0" borderId="96" xfId="0" applyFont="1" applyBorder="1" applyAlignment="1">
      <alignment horizontal="left" vertical="center"/>
    </xf>
    <xf numFmtId="0" fontId="84" fillId="0" borderId="85" xfId="0" applyFont="1" applyBorder="1" applyAlignment="1">
      <alignment horizontal="left" vertical="center"/>
    </xf>
    <xf numFmtId="0" fontId="84" fillId="0" borderId="31" xfId="0" applyFont="1" applyBorder="1" applyAlignment="1">
      <alignment horizontal="left" vertical="center"/>
    </xf>
    <xf numFmtId="0" fontId="84" fillId="0" borderId="97" xfId="0" applyFont="1" applyBorder="1" applyAlignment="1">
      <alignment horizontal="left" vertical="center"/>
    </xf>
    <xf numFmtId="0" fontId="86" fillId="0" borderId="85" xfId="0" applyFont="1" applyBorder="1" applyAlignment="1">
      <alignment horizontal="left" vertical="center"/>
    </xf>
    <xf numFmtId="0" fontId="86" fillId="0" borderId="31" xfId="0" applyFont="1" applyBorder="1" applyAlignment="1">
      <alignment horizontal="left" vertical="center"/>
    </xf>
    <xf numFmtId="0" fontId="86" fillId="0" borderId="97" xfId="0" applyFont="1" applyBorder="1" applyAlignment="1">
      <alignment horizontal="left" vertical="center"/>
    </xf>
    <xf numFmtId="0" fontId="132" fillId="0" borderId="20" xfId="0" applyFont="1" applyBorder="1" applyAlignment="1">
      <alignment horizontal="center" vertical="center"/>
    </xf>
    <xf numFmtId="0" fontId="132" fillId="0" borderId="21" xfId="0" applyFont="1" applyBorder="1" applyAlignment="1">
      <alignment horizontal="center" vertical="center"/>
    </xf>
    <xf numFmtId="0" fontId="132" fillId="0" borderId="69" xfId="0" applyFont="1" applyBorder="1" applyAlignment="1">
      <alignment horizontal="center" vertical="center"/>
    </xf>
    <xf numFmtId="0" fontId="132" fillId="0" borderId="0" xfId="0" applyFont="1" applyBorder="1" applyAlignment="1">
      <alignment horizontal="center" vertical="center"/>
    </xf>
    <xf numFmtId="0" fontId="132" fillId="0" borderId="73" xfId="0" applyFont="1" applyBorder="1" applyAlignment="1">
      <alignment horizontal="center" vertical="center"/>
    </xf>
    <xf numFmtId="0" fontId="132" fillId="0" borderId="6" xfId="0" applyFont="1" applyBorder="1" applyAlignment="1">
      <alignment horizontal="center" vertical="center"/>
    </xf>
    <xf numFmtId="0" fontId="76" fillId="0" borderId="20" xfId="0" applyFont="1" applyBorder="1" applyAlignment="1">
      <alignment horizontal="center" vertical="center"/>
    </xf>
    <xf numFmtId="0" fontId="76" fillId="0" borderId="22" xfId="0" applyFont="1" applyBorder="1" applyAlignment="1">
      <alignment horizontal="center" vertical="center"/>
    </xf>
    <xf numFmtId="0" fontId="77" fillId="0" borderId="20" xfId="0" applyFont="1" applyBorder="1" applyAlignment="1">
      <alignment horizontal="center" vertical="center"/>
    </xf>
    <xf numFmtId="0" fontId="77" fillId="0" borderId="21" xfId="0" applyFont="1" applyBorder="1" applyAlignment="1">
      <alignment horizontal="center" vertical="center"/>
    </xf>
    <xf numFmtId="0" fontId="77" fillId="0" borderId="22" xfId="0" applyFont="1" applyBorder="1" applyAlignment="1">
      <alignment horizontal="center" vertical="center"/>
    </xf>
    <xf numFmtId="0" fontId="77" fillId="0" borderId="69" xfId="0" applyFont="1" applyBorder="1" applyAlignment="1">
      <alignment horizontal="center" vertical="center"/>
    </xf>
    <xf numFmtId="0" fontId="77" fillId="0" borderId="0" xfId="0" applyFont="1" applyBorder="1" applyAlignment="1">
      <alignment horizontal="center" vertical="center"/>
    </xf>
    <xf numFmtId="0" fontId="77" fillId="0" borderId="5" xfId="0" applyFont="1" applyBorder="1" applyAlignment="1">
      <alignment horizontal="center" vertical="center"/>
    </xf>
    <xf numFmtId="0" fontId="77" fillId="0" borderId="73" xfId="0" applyFont="1" applyBorder="1" applyAlignment="1">
      <alignment horizontal="center" vertical="center"/>
    </xf>
    <xf numFmtId="0" fontId="77" fillId="0" borderId="6" xfId="0" applyFont="1" applyBorder="1" applyAlignment="1">
      <alignment horizontal="center" vertical="center"/>
    </xf>
    <xf numFmtId="0" fontId="77" fillId="0" borderId="7" xfId="0" applyFont="1" applyBorder="1" applyAlignment="1">
      <alignment horizontal="center" vertical="center"/>
    </xf>
    <xf numFmtId="0" fontId="84" fillId="0" borderId="29" xfId="0" applyFont="1" applyBorder="1" applyAlignment="1">
      <alignment horizontal="left" vertical="center"/>
    </xf>
    <xf numFmtId="0" fontId="84" fillId="0" borderId="30" xfId="0" applyFont="1" applyBorder="1" applyAlignment="1">
      <alignment horizontal="left" vertical="center"/>
    </xf>
    <xf numFmtId="0" fontId="84" fillId="0" borderId="98" xfId="0" applyFont="1" applyBorder="1" applyAlignment="1">
      <alignment horizontal="left" vertical="center"/>
    </xf>
    <xf numFmtId="0" fontId="82" fillId="10" borderId="111" xfId="0" applyFont="1" applyFill="1" applyBorder="1" applyAlignment="1">
      <alignment horizontal="center" vertical="center"/>
    </xf>
    <xf numFmtId="0" fontId="82" fillId="10" borderId="105" xfId="0" applyFont="1" applyFill="1" applyBorder="1" applyAlignment="1">
      <alignment horizontal="center" vertical="center"/>
    </xf>
    <xf numFmtId="169" fontId="77" fillId="0" borderId="28" xfId="0" applyNumberFormat="1" applyFont="1" applyBorder="1" applyAlignment="1">
      <alignment horizontal="center" vertical="center" wrapText="1"/>
    </xf>
    <xf numFmtId="169" fontId="77" fillId="0" borderId="91" xfId="0" applyNumberFormat="1" applyFont="1" applyBorder="1" applyAlignment="1">
      <alignment horizontal="center" vertical="center" wrapText="1"/>
    </xf>
    <xf numFmtId="0" fontId="107" fillId="6" borderId="0" xfId="0" applyFont="1" applyFill="1" applyBorder="1" applyAlignment="1">
      <alignment horizontal="center" vertical="center"/>
    </xf>
    <xf numFmtId="0" fontId="109" fillId="18" borderId="0" xfId="0" applyFont="1" applyFill="1" applyBorder="1" applyAlignment="1">
      <alignment horizontal="right" vertical="center"/>
    </xf>
    <xf numFmtId="0" fontId="109" fillId="18" borderId="0" xfId="0" applyFont="1" applyFill="1" applyBorder="1" applyAlignment="1">
      <alignment horizontal="left" vertical="center"/>
    </xf>
    <xf numFmtId="9" fontId="109" fillId="6" borderId="0" xfId="0" applyNumberFormat="1" applyFont="1" applyFill="1" applyAlignment="1">
      <alignment horizontal="left" vertical="center"/>
    </xf>
    <xf numFmtId="165" fontId="110" fillId="18" borderId="40" xfId="0" applyNumberFormat="1" applyFont="1" applyFill="1" applyBorder="1" applyAlignment="1">
      <alignment horizontal="center" vertical="center"/>
    </xf>
    <xf numFmtId="165" fontId="110" fillId="18" borderId="0" xfId="0" applyNumberFormat="1" applyFont="1" applyFill="1" applyBorder="1" applyAlignment="1">
      <alignment horizontal="center" vertical="center"/>
    </xf>
    <xf numFmtId="0" fontId="109" fillId="6" borderId="0" xfId="0" applyFont="1" applyFill="1" applyAlignment="1">
      <alignment horizontal="right" vertical="center"/>
    </xf>
    <xf numFmtId="0" fontId="2" fillId="0" borderId="0" xfId="0" applyFont="1" applyBorder="1" applyAlignment="1">
      <alignment horizontal="right"/>
    </xf>
    <xf numFmtId="0" fontId="0" fillId="0" borderId="0" xfId="0" applyBorder="1"/>
    <xf numFmtId="164" fontId="31" fillId="11" borderId="99" xfId="0" applyNumberFormat="1" applyFont="1" applyFill="1" applyBorder="1" applyAlignment="1">
      <alignment horizontal="center" wrapText="1"/>
    </xf>
    <xf numFmtId="0" fontId="38" fillId="11" borderId="57" xfId="0" applyFont="1" applyFill="1" applyBorder="1" applyAlignment="1">
      <alignment horizontal="center"/>
    </xf>
    <xf numFmtId="0" fontId="38" fillId="11" borderId="100" xfId="0" applyFont="1" applyFill="1" applyBorder="1" applyAlignment="1">
      <alignment horizontal="center"/>
    </xf>
    <xf numFmtId="166" fontId="74" fillId="0" borderId="40" xfId="0" applyNumberFormat="1" applyFont="1" applyBorder="1" applyAlignment="1">
      <alignment horizontal="center" vertical="center"/>
    </xf>
    <xf numFmtId="165" fontId="34" fillId="0" borderId="0" xfId="0" applyNumberFormat="1" applyFont="1" applyBorder="1" applyAlignment="1" applyProtection="1">
      <alignment horizontal="center" vertical="center"/>
      <protection locked="0"/>
    </xf>
    <xf numFmtId="165" fontId="35" fillId="0" borderId="0" xfId="0" applyNumberFormat="1" applyFont="1"/>
    <xf numFmtId="164" fontId="31" fillId="5" borderId="20" xfId="0" applyNumberFormat="1" applyFont="1" applyFill="1" applyBorder="1" applyAlignment="1">
      <alignment horizontal="center"/>
    </xf>
    <xf numFmtId="0" fontId="38" fillId="5" borderId="21" xfId="0" applyFont="1" applyFill="1" applyBorder="1" applyAlignment="1">
      <alignment horizontal="center"/>
    </xf>
    <xf numFmtId="0" fontId="38" fillId="5" borderId="22" xfId="0" applyFont="1" applyFill="1" applyBorder="1" applyAlignment="1">
      <alignment horizontal="center"/>
    </xf>
    <xf numFmtId="0" fontId="36" fillId="0" borderId="52" xfId="0" applyFont="1" applyBorder="1" applyAlignment="1" applyProtection="1">
      <alignment horizontal="center" wrapText="1"/>
      <protection locked="0"/>
    </xf>
    <xf numFmtId="0" fontId="36" fillId="0" borderId="13" xfId="0" applyFont="1" applyBorder="1" applyAlignment="1" applyProtection="1">
      <alignment horizontal="center" wrapText="1"/>
      <protection locked="0"/>
    </xf>
    <xf numFmtId="0" fontId="31" fillId="5" borderId="4" xfId="0" applyFont="1" applyFill="1" applyBorder="1" applyAlignment="1">
      <alignment horizontal="center"/>
    </xf>
    <xf numFmtId="0" fontId="31" fillId="5" borderId="1" xfId="0" applyFont="1" applyFill="1" applyBorder="1" applyAlignment="1">
      <alignment horizontal="center"/>
    </xf>
    <xf numFmtId="0" fontId="31" fillId="5" borderId="66" xfId="0" applyFont="1" applyFill="1" applyBorder="1" applyAlignment="1">
      <alignment horizontal="center"/>
    </xf>
    <xf numFmtId="0" fontId="31" fillId="12" borderId="92" xfId="0" applyFont="1" applyFill="1" applyBorder="1" applyAlignment="1">
      <alignment horizontal="center"/>
    </xf>
    <xf numFmtId="0" fontId="31" fillId="12" borderId="93" xfId="0" applyFont="1" applyFill="1" applyBorder="1" applyAlignment="1">
      <alignment horizontal="center"/>
    </xf>
    <xf numFmtId="0" fontId="31" fillId="12" borderId="75" xfId="0" applyFont="1" applyFill="1" applyBorder="1" applyAlignment="1">
      <alignment horizontal="center"/>
    </xf>
    <xf numFmtId="0" fontId="37" fillId="0" borderId="69" xfId="0" applyFont="1" applyBorder="1" applyAlignment="1">
      <alignment horizontal="center"/>
    </xf>
    <xf numFmtId="0" fontId="37" fillId="0" borderId="0" xfId="0" applyFont="1" applyBorder="1" applyAlignment="1">
      <alignment horizontal="center"/>
    </xf>
    <xf numFmtId="0" fontId="37" fillId="0" borderId="101" xfId="0" applyFont="1" applyBorder="1" applyAlignment="1">
      <alignment horizontal="center"/>
    </xf>
    <xf numFmtId="0" fontId="88" fillId="0" borderId="89" xfId="0" applyFont="1" applyBorder="1" applyAlignment="1">
      <alignment horizontal="center" vertical="center"/>
    </xf>
    <xf numFmtId="0" fontId="88" fillId="0" borderId="90" xfId="0" applyFont="1" applyBorder="1" applyAlignment="1">
      <alignment horizontal="center" vertical="center"/>
    </xf>
    <xf numFmtId="0" fontId="88" fillId="0" borderId="69" xfId="0" applyFont="1" applyBorder="1" applyAlignment="1">
      <alignment horizontal="center" vertical="center"/>
    </xf>
    <xf numFmtId="0" fontId="88" fillId="0" borderId="0" xfId="0" applyFont="1" applyBorder="1" applyAlignment="1">
      <alignment horizontal="center" vertical="center"/>
    </xf>
    <xf numFmtId="0" fontId="96" fillId="6" borderId="102" xfId="5" applyFont="1" applyFill="1" applyBorder="1" applyAlignment="1" applyProtection="1">
      <alignment horizontal="center"/>
      <protection locked="0"/>
    </xf>
    <xf numFmtId="0" fontId="96" fillId="6" borderId="95" xfId="5" applyFont="1" applyFill="1" applyBorder="1" applyAlignment="1" applyProtection="1">
      <alignment horizontal="center"/>
      <protection locked="0"/>
    </xf>
    <xf numFmtId="0" fontId="96" fillId="6" borderId="41" xfId="5" applyFont="1" applyFill="1" applyBorder="1" applyAlignment="1" applyProtection="1">
      <alignment horizontal="center"/>
      <protection locked="0"/>
    </xf>
    <xf numFmtId="0" fontId="114" fillId="17" borderId="0" xfId="7" applyFont="1" applyBorder="1" applyAlignment="1" applyProtection="1">
      <alignment horizontal="center" vertical="center"/>
      <protection locked="0"/>
    </xf>
    <xf numFmtId="165" fontId="96" fillId="0" borderId="88" xfId="0" applyNumberFormat="1" applyFont="1" applyBorder="1" applyAlignment="1" applyProtection="1">
      <alignment horizontal="center" vertical="center"/>
      <protection locked="0"/>
    </xf>
    <xf numFmtId="165" fontId="96" fillId="0" borderId="0" xfId="0" applyNumberFormat="1" applyFont="1" applyBorder="1" applyAlignment="1" applyProtection="1">
      <alignment horizontal="center" vertical="center"/>
      <protection locked="0"/>
    </xf>
    <xf numFmtId="0" fontId="133" fillId="23" borderId="115" xfId="0" applyFont="1" applyFill="1" applyBorder="1" applyAlignment="1">
      <alignment horizontal="center" vertical="center"/>
    </xf>
    <xf numFmtId="0" fontId="133" fillId="23" borderId="45" xfId="0" applyFont="1" applyFill="1" applyBorder="1" applyAlignment="1">
      <alignment horizontal="center" vertical="center"/>
    </xf>
    <xf numFmtId="0" fontId="133" fillId="23" borderId="118" xfId="0" applyFont="1" applyFill="1" applyBorder="1" applyAlignment="1">
      <alignment horizontal="center" vertical="center"/>
    </xf>
    <xf numFmtId="0" fontId="133" fillId="23" borderId="0" xfId="0" applyFont="1" applyFill="1" applyBorder="1" applyAlignment="1">
      <alignment horizontal="center" vertical="center"/>
    </xf>
    <xf numFmtId="0" fontId="13" fillId="0" borderId="0" xfId="0" applyFont="1" applyAlignment="1" applyProtection="1">
      <alignment wrapText="1" shrinkToFit="1"/>
      <protection locked="0"/>
    </xf>
    <xf numFmtId="0" fontId="30" fillId="0" borderId="0" xfId="0" applyFont="1" applyAlignment="1">
      <alignment wrapText="1"/>
    </xf>
    <xf numFmtId="0" fontId="30" fillId="0" borderId="103" xfId="0" applyFont="1" applyBorder="1" applyAlignment="1">
      <alignment wrapText="1"/>
    </xf>
    <xf numFmtId="0" fontId="13" fillId="0" borderId="0" xfId="0" applyFont="1" applyAlignment="1">
      <alignment horizontal="left" wrapText="1"/>
    </xf>
    <xf numFmtId="0" fontId="13" fillId="0" borderId="0" xfId="0" applyFont="1" applyAlignment="1">
      <alignment wrapText="1"/>
    </xf>
    <xf numFmtId="0" fontId="26" fillId="0" borderId="0" xfId="0" applyFont="1" applyAlignment="1">
      <alignment wrapText="1"/>
    </xf>
    <xf numFmtId="0" fontId="31" fillId="0" borderId="0" xfId="0" applyFont="1" applyAlignment="1">
      <alignment wrapText="1"/>
    </xf>
    <xf numFmtId="0" fontId="31" fillId="0" borderId="103" xfId="0" applyFont="1" applyBorder="1" applyAlignment="1">
      <alignment wrapText="1"/>
    </xf>
    <xf numFmtId="0" fontId="29" fillId="0" borderId="0" xfId="0" applyFont="1" applyAlignment="1">
      <alignment wrapText="1"/>
    </xf>
    <xf numFmtId="0" fontId="29" fillId="0" borderId="103" xfId="0" applyFont="1" applyBorder="1" applyAlignment="1">
      <alignment wrapText="1"/>
    </xf>
    <xf numFmtId="0" fontId="12" fillId="0" borderId="0" xfId="0" applyFont="1" applyAlignment="1">
      <alignment wrapText="1"/>
    </xf>
  </cellXfs>
  <cellStyles count="8">
    <cellStyle name="Bad" xfId="7" builtinId="27"/>
    <cellStyle name="Calculation" xfId="1" builtinId="22"/>
    <cellStyle name="Currency" xfId="2" builtinId="4"/>
    <cellStyle name="Hyperlink" xfId="3" builtinId="8"/>
    <cellStyle name="Normal" xfId="0" builtinId="0"/>
    <cellStyle name="Normal 2" xfId="4" xr:uid="{00000000-0005-0000-0000-000005000000}"/>
    <cellStyle name="Normal_Sheet1_1" xfId="5" xr:uid="{00000000-0005-0000-0000-000006000000}"/>
    <cellStyle name="Percent" xfId="6" builtinId="5"/>
  </cellStyles>
  <dxfs count="14">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left style="thin">
          <color indexed="64"/>
        </left>
        <right style="thin">
          <color indexed="64"/>
        </right>
        <top style="thin">
          <color indexed="64"/>
        </top>
        <bottom/>
        <vertical/>
      </border>
    </dxf>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5" tint="-0.499984740745262"/>
        <name val="Calibri"/>
        <scheme val="minor"/>
      </font>
      <numFmt numFmtId="173" formatCode="[$-409]h:mm\ AM/PM;@"/>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font>
        <b val="0"/>
        <strike val="0"/>
        <outline val="0"/>
        <shadow val="0"/>
        <u val="none"/>
        <vertAlign val="baseline"/>
        <sz val="18"/>
        <color theme="5" tint="-0.499984740745262"/>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8"/>
        <color theme="5" tint="-0.499984740745262"/>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5" tint="-0.499984740745262"/>
        <name val="Calibri"/>
        <scheme val="minor"/>
      </font>
      <numFmt numFmtId="173" formatCode="[$-409]h:mm\ AM/PM;@"/>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8"/>
        <color theme="5" tint="-0.499984740745262"/>
        <name val="Calibri"/>
        <scheme val="minor"/>
      </font>
      <fill>
        <patternFill patternType="none">
          <fgColor indexed="64"/>
          <bgColor indexed="65"/>
        </patternFill>
      </fill>
      <alignment horizontal="center" vertical="center" textRotation="0" wrapText="1" relativeIndent="0" justifyLastLine="0" shrinkToFit="0" readingOrder="0"/>
      <border diagonalUp="0" diagonalDown="0" outline="0">
        <left style="thin">
          <color indexed="64"/>
        </left>
        <right style="thin">
          <color indexed="64"/>
        </right>
        <top style="thin">
          <color indexed="64"/>
        </top>
        <bottom/>
      </border>
    </dxf>
    <dxf>
      <border outline="0">
        <top style="medium">
          <color indexed="64"/>
        </top>
      </border>
    </dxf>
    <dxf>
      <font>
        <b val="0"/>
        <strike val="0"/>
        <outline val="0"/>
        <shadow val="0"/>
        <u val="none"/>
        <vertAlign val="baseline"/>
        <sz val="18"/>
        <color theme="5" tint="-0.499984740745262"/>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bottom style="medium">
          <color indexed="64"/>
        </bottom>
      </border>
    </dxf>
    <dxf>
      <font>
        <b/>
        <i val="0"/>
        <strike val="0"/>
        <condense val="0"/>
        <extend val="0"/>
        <outline val="0"/>
        <shadow val="0"/>
        <u val="none"/>
        <vertAlign val="baseline"/>
        <sz val="22"/>
        <color theme="5" tint="-0.499984740745262"/>
        <name val="Arial"/>
        <family val="2"/>
        <scheme val="none"/>
      </font>
      <fill>
        <patternFill patternType="solid">
          <fgColor theme="4" tint="0.79998168889431442"/>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3366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27</xdr:col>
      <xdr:colOff>285750</xdr:colOff>
      <xdr:row>47</xdr:row>
      <xdr:rowOff>161925</xdr:rowOff>
    </xdr:to>
    <xdr:sp macro="" textlink="">
      <xdr:nvSpPr>
        <xdr:cNvPr id="1025" name="AutoShape 1">
          <a:extLst>
            <a:ext uri="{FF2B5EF4-FFF2-40B4-BE49-F238E27FC236}">
              <a16:creationId xmlns:a16="http://schemas.microsoft.com/office/drawing/2014/main" id="{7CE206FC-E82C-B4A8-5021-AE287DA65CA0}"/>
            </a:ext>
          </a:extLst>
        </xdr:cNvPr>
        <xdr:cNvSpPr>
          <a:spLocks noChangeAspect="1" noChangeArrowheads="1"/>
        </xdr:cNvSpPr>
      </xdr:nvSpPr>
      <xdr:spPr bwMode="auto">
        <a:xfrm>
          <a:off x="11153775" y="838200"/>
          <a:ext cx="11430000" cy="6000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xdr:row>
      <xdr:rowOff>0</xdr:rowOff>
    </xdr:from>
    <xdr:to>
      <xdr:col>8</xdr:col>
      <xdr:colOff>304800</xdr:colOff>
      <xdr:row>8</xdr:row>
      <xdr:rowOff>133350</xdr:rowOff>
    </xdr:to>
    <xdr:sp macro="" textlink="">
      <xdr:nvSpPr>
        <xdr:cNvPr id="1026" name="AutoShape 2">
          <a:extLst>
            <a:ext uri="{FF2B5EF4-FFF2-40B4-BE49-F238E27FC236}">
              <a16:creationId xmlns:a16="http://schemas.microsoft.com/office/drawing/2014/main" id="{076F7BA4-3DE8-3D66-7AFD-799745531938}"/>
            </a:ext>
          </a:extLst>
        </xdr:cNvPr>
        <xdr:cNvSpPr>
          <a:spLocks noChangeAspect="1" noChangeArrowheads="1"/>
        </xdr:cNvSpPr>
      </xdr:nvSpPr>
      <xdr:spPr bwMode="auto">
        <a:xfrm>
          <a:off x="10534650" y="116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76200</xdr:colOff>
      <xdr:row>0</xdr:row>
      <xdr:rowOff>85725</xdr:rowOff>
    </xdr:from>
    <xdr:to>
      <xdr:col>1</xdr:col>
      <xdr:colOff>247650</xdr:colOff>
      <xdr:row>8</xdr:row>
      <xdr:rowOff>9525</xdr:rowOff>
    </xdr:to>
    <xdr:pic>
      <xdr:nvPicPr>
        <xdr:cNvPr id="3" name="Picture 2">
          <a:extLst>
            <a:ext uri="{FF2B5EF4-FFF2-40B4-BE49-F238E27FC236}">
              <a16:creationId xmlns:a16="http://schemas.microsoft.com/office/drawing/2014/main" id="{C49CC825-C78E-A1B1-0705-E5E5D4D1E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85725"/>
          <a:ext cx="1333500" cy="1257300"/>
        </a:xfrm>
        <a:prstGeom prst="rect">
          <a:avLst/>
        </a:prstGeom>
      </xdr:spPr>
    </xdr:pic>
    <xdr:clientData/>
  </xdr:twoCellAnchor>
  <xdr:twoCellAnchor editAs="oneCell">
    <xdr:from>
      <xdr:col>4</xdr:col>
      <xdr:colOff>923925</xdr:colOff>
      <xdr:row>0</xdr:row>
      <xdr:rowOff>38100</xdr:rowOff>
    </xdr:from>
    <xdr:to>
      <xdr:col>6</xdr:col>
      <xdr:colOff>19050</xdr:colOff>
      <xdr:row>7</xdr:row>
      <xdr:rowOff>133350</xdr:rowOff>
    </xdr:to>
    <xdr:pic>
      <xdr:nvPicPr>
        <xdr:cNvPr id="10" name="Picture 9">
          <a:extLst>
            <a:ext uri="{FF2B5EF4-FFF2-40B4-BE49-F238E27FC236}">
              <a16:creationId xmlns:a16="http://schemas.microsoft.com/office/drawing/2014/main" id="{6B599F02-43CC-49E5-BA20-9EA50BD24F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72125" y="38100"/>
          <a:ext cx="1419225" cy="125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xdr:colOff>
      <xdr:row>0</xdr:row>
      <xdr:rowOff>19050</xdr:rowOff>
    </xdr:from>
    <xdr:to>
      <xdr:col>2</xdr:col>
      <xdr:colOff>1295400</xdr:colOff>
      <xdr:row>4</xdr:row>
      <xdr:rowOff>422910</xdr:rowOff>
    </xdr:to>
    <xdr:pic>
      <xdr:nvPicPr>
        <xdr:cNvPr id="4" name="Picture 3">
          <a:extLst>
            <a:ext uri="{FF2B5EF4-FFF2-40B4-BE49-F238E27FC236}">
              <a16:creationId xmlns:a16="http://schemas.microsoft.com/office/drawing/2014/main" id="{D439E603-48EB-44DF-990A-09E352434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 y="19050"/>
          <a:ext cx="4438647" cy="1737360"/>
        </a:xfrm>
        <a:prstGeom prst="rect">
          <a:avLst/>
        </a:prstGeom>
        <a:ln>
          <a:solidFill>
            <a:schemeClr val="accent1"/>
          </a:solidFill>
        </a:ln>
      </xdr:spPr>
    </xdr:pic>
    <xdr:clientData/>
  </xdr:twoCellAnchor>
  <xdr:twoCellAnchor editAs="oneCell">
    <xdr:from>
      <xdr:col>7</xdr:col>
      <xdr:colOff>266700</xdr:colOff>
      <xdr:row>0</xdr:row>
      <xdr:rowOff>0</xdr:rowOff>
    </xdr:from>
    <xdr:to>
      <xdr:col>10</xdr:col>
      <xdr:colOff>3978</xdr:colOff>
      <xdr:row>4</xdr:row>
      <xdr:rowOff>439751</xdr:rowOff>
    </xdr:to>
    <xdr:pic>
      <xdr:nvPicPr>
        <xdr:cNvPr id="5" name="Picture 4">
          <a:extLst>
            <a:ext uri="{FF2B5EF4-FFF2-40B4-BE49-F238E27FC236}">
              <a16:creationId xmlns:a16="http://schemas.microsoft.com/office/drawing/2014/main" id="{05B082A4-1FE1-4C5D-BC4F-06C204674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68900" y="0"/>
          <a:ext cx="4766478" cy="1773251"/>
        </a:xfrm>
        <a:prstGeom prst="rect">
          <a:avLst/>
        </a:prstGeom>
      </xdr:spPr>
    </xdr:pic>
    <xdr:clientData/>
  </xdr:twoCellAnchor>
  <xdr:twoCellAnchor editAs="oneCell">
    <xdr:from>
      <xdr:col>12</xdr:col>
      <xdr:colOff>95250</xdr:colOff>
      <xdr:row>6</xdr:row>
      <xdr:rowOff>1292190</xdr:rowOff>
    </xdr:from>
    <xdr:to>
      <xdr:col>18</xdr:col>
      <xdr:colOff>233913</xdr:colOff>
      <xdr:row>7</xdr:row>
      <xdr:rowOff>1257300</xdr:rowOff>
    </xdr:to>
    <xdr:pic>
      <xdr:nvPicPr>
        <xdr:cNvPr id="8" name="Picture 7">
          <a:extLst>
            <a:ext uri="{FF2B5EF4-FFF2-40B4-BE49-F238E27FC236}">
              <a16:creationId xmlns:a16="http://schemas.microsoft.com/office/drawing/2014/main" id="{D74F6DB0-9669-4B2D-BD05-C6ED54C1A4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606375" y="4673565"/>
          <a:ext cx="4758288" cy="29972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211667</xdr:colOff>
      <xdr:row>0</xdr:row>
      <xdr:rowOff>0</xdr:rowOff>
    </xdr:from>
    <xdr:to>
      <xdr:col>5</xdr:col>
      <xdr:colOff>154538</xdr:colOff>
      <xdr:row>1</xdr:row>
      <xdr:rowOff>124883</xdr:rowOff>
    </xdr:to>
    <xdr:pic>
      <xdr:nvPicPr>
        <xdr:cNvPr id="2" name="Picture 1">
          <a:extLst>
            <a:ext uri="{FF2B5EF4-FFF2-40B4-BE49-F238E27FC236}">
              <a16:creationId xmlns:a16="http://schemas.microsoft.com/office/drawing/2014/main" id="{B6A8347B-66E1-40D8-8200-4C135E87F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57584" y="0"/>
          <a:ext cx="1996038" cy="1257300"/>
        </a:xfrm>
        <a:prstGeom prst="rect">
          <a:avLst/>
        </a:prstGeom>
      </xdr:spPr>
    </xdr:pic>
    <xdr:clientData/>
  </xdr:twoCellAnchor>
  <xdr:twoCellAnchor editAs="oneCell">
    <xdr:from>
      <xdr:col>6</xdr:col>
      <xdr:colOff>573741</xdr:colOff>
      <xdr:row>3</xdr:row>
      <xdr:rowOff>275167</xdr:rowOff>
    </xdr:from>
    <xdr:to>
      <xdr:col>16</xdr:col>
      <xdr:colOff>122788</xdr:colOff>
      <xdr:row>22</xdr:row>
      <xdr:rowOff>114300</xdr:rowOff>
    </xdr:to>
    <xdr:pic>
      <xdr:nvPicPr>
        <xdr:cNvPr id="3" name="Picture 2">
          <a:extLst>
            <a:ext uri="{FF2B5EF4-FFF2-40B4-BE49-F238E27FC236}">
              <a16:creationId xmlns:a16="http://schemas.microsoft.com/office/drawing/2014/main" id="{08F28ACA-E830-4BE0-9E2B-F5F954433E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7241" y="1735667"/>
          <a:ext cx="5793214" cy="364913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87" displayName="Table687" ref="A6:J22" totalsRowShown="0" headerRowDxfId="13" dataDxfId="11" headerRowBorderDxfId="12" tableBorderDxfId="10">
  <autoFilter ref="A6:J22" xr:uid="{00000000-0009-0000-0100-000006000000}"/>
  <tableColumns count="10">
    <tableColumn id="3" xr3:uid="{00000000-0010-0000-0000-000003000000}" name="Room#" dataDxfId="9"/>
    <tableColumn id="9" xr3:uid="{00000000-0010-0000-0000-000009000000}" name="Time Received" dataDxfId="8"/>
    <tableColumn id="2" xr3:uid="{00000000-0010-0000-0000-000002000000}" name="Guest Detail/ Sonesta/ or travel sites" dataDxfId="7"/>
    <tableColumn id="7" xr3:uid="{00000000-0010-0000-0000-000007000000}" name="Guest Issue" dataDxfId="6"/>
    <tableColumn id="10" xr3:uid="{00000000-0010-0000-0000-00000A000000}" name=" Person Contacted" dataDxfId="5"/>
    <tableColumn id="11" xr3:uid="{00000000-0010-0000-0000-00000B000000}" name="Time Resolved" dataDxfId="4"/>
    <tableColumn id="4" xr3:uid="{00000000-0010-0000-0000-000004000000}" name="Service Recovery" dataDxfId="3"/>
    <tableColumn id="8" xr3:uid="{00000000-0010-0000-0000-000008000000}" name="Follow up Call" dataDxfId="2"/>
    <tableColumn id="6" xr3:uid="{00000000-0010-0000-0000-000006000000}" name="Reported By" dataDxfId="1"/>
    <tableColumn id="12" xr3:uid="{00000000-0010-0000-0000-00000C000000}" name="Moncscige Update/ MOD review"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B220-E74E-4FC7-834A-BCD06FE31E67}">
  <sheetPr>
    <tabColor theme="9" tint="0.39997558519241921"/>
  </sheetPr>
  <dimension ref="A1:G103"/>
  <sheetViews>
    <sheetView workbookViewId="0">
      <selection activeCell="G29" sqref="G29"/>
    </sheetView>
  </sheetViews>
  <sheetFormatPr defaultRowHeight="12.75"/>
  <cols>
    <col min="1" max="1" width="14.85546875" customWidth="1"/>
    <col min="2" max="2" width="19.85546875" customWidth="1"/>
    <col min="3" max="3" width="15.28515625" customWidth="1"/>
    <col min="4" max="4" width="19.85546875" customWidth="1"/>
    <col min="5" max="5" width="30.5703125" customWidth="1"/>
    <col min="6" max="6" width="72.140625" customWidth="1"/>
  </cols>
  <sheetData>
    <row r="1" spans="1:7">
      <c r="A1" s="478" t="s">
        <v>166</v>
      </c>
      <c r="B1" s="479"/>
      <c r="C1" s="479"/>
      <c r="D1" s="479"/>
      <c r="E1" s="479"/>
      <c r="F1" s="479"/>
      <c r="G1" s="463"/>
    </row>
    <row r="2" spans="1:7">
      <c r="A2" s="480"/>
      <c r="B2" s="481"/>
      <c r="C2" s="481"/>
      <c r="D2" s="481"/>
      <c r="E2" s="481"/>
      <c r="F2" s="481"/>
      <c r="G2" s="463"/>
    </row>
    <row r="3" spans="1:7" ht="15">
      <c r="A3" s="434" t="s">
        <v>167</v>
      </c>
      <c r="B3" s="434" t="s">
        <v>168</v>
      </c>
      <c r="C3" s="434" t="s">
        <v>169</v>
      </c>
      <c r="D3" s="434" t="s">
        <v>170</v>
      </c>
      <c r="E3" s="434" t="s">
        <v>161</v>
      </c>
      <c r="F3" s="434" t="s">
        <v>157</v>
      </c>
      <c r="G3" s="462" t="s">
        <v>171</v>
      </c>
    </row>
    <row r="4" spans="1:7" ht="15">
      <c r="A4" s="445">
        <v>2127</v>
      </c>
      <c r="B4" s="445"/>
      <c r="C4" s="447" t="s">
        <v>224</v>
      </c>
      <c r="D4" s="448" t="s">
        <v>229</v>
      </c>
      <c r="E4" s="445" t="s">
        <v>225</v>
      </c>
      <c r="F4" s="445" t="s">
        <v>226</v>
      </c>
      <c r="G4" s="477" t="s">
        <v>227</v>
      </c>
    </row>
    <row r="5" spans="1:7" ht="15">
      <c r="A5" s="445">
        <v>2214</v>
      </c>
      <c r="B5" s="445"/>
      <c r="C5" s="447" t="s">
        <v>223</v>
      </c>
      <c r="D5" s="448" t="s">
        <v>228</v>
      </c>
      <c r="E5" s="445" t="s">
        <v>230</v>
      </c>
      <c r="F5" s="445" t="s">
        <v>231</v>
      </c>
      <c r="G5" s="477" t="s">
        <v>227</v>
      </c>
    </row>
    <row r="6" spans="1:7" ht="15">
      <c r="A6" s="445">
        <v>2240</v>
      </c>
      <c r="B6" s="445"/>
      <c r="C6" s="447" t="s">
        <v>232</v>
      </c>
      <c r="D6" s="447" t="s">
        <v>233</v>
      </c>
      <c r="E6" s="445" t="s">
        <v>234</v>
      </c>
      <c r="F6" s="445" t="s">
        <v>197</v>
      </c>
      <c r="G6" s="477" t="s">
        <v>227</v>
      </c>
    </row>
    <row r="7" spans="1:7" ht="15">
      <c r="A7" s="445">
        <v>2110</v>
      </c>
      <c r="B7" s="445"/>
      <c r="C7" s="447" t="s">
        <v>235</v>
      </c>
      <c r="D7" s="448" t="s">
        <v>236</v>
      </c>
      <c r="E7" s="445" t="s">
        <v>237</v>
      </c>
      <c r="F7" s="445" t="s">
        <v>238</v>
      </c>
      <c r="G7" s="466" t="s">
        <v>227</v>
      </c>
    </row>
    <row r="8" spans="1:7" ht="15">
      <c r="A8" s="445">
        <v>2217</v>
      </c>
      <c r="B8" s="445"/>
      <c r="C8" s="447" t="s">
        <v>254</v>
      </c>
      <c r="D8" s="445" t="s">
        <v>255</v>
      </c>
      <c r="E8" s="445" t="s">
        <v>256</v>
      </c>
      <c r="F8" s="445" t="s">
        <v>257</v>
      </c>
      <c r="G8" s="466" t="s">
        <v>322</v>
      </c>
    </row>
    <row r="9" spans="1:7" ht="15">
      <c r="A9" s="445">
        <v>3132</v>
      </c>
      <c r="B9" s="445"/>
      <c r="C9" s="447" t="s">
        <v>258</v>
      </c>
      <c r="D9" s="448" t="s">
        <v>259</v>
      </c>
      <c r="E9" s="445" t="s">
        <v>260</v>
      </c>
      <c r="F9" s="445" t="s">
        <v>261</v>
      </c>
      <c r="G9" s="466" t="s">
        <v>322</v>
      </c>
    </row>
    <row r="10" spans="1:7" ht="15">
      <c r="A10" s="445">
        <v>2219</v>
      </c>
      <c r="B10" s="445"/>
      <c r="C10" s="447" t="s">
        <v>258</v>
      </c>
      <c r="D10" s="445" t="s">
        <v>259</v>
      </c>
      <c r="E10" s="445" t="s">
        <v>262</v>
      </c>
      <c r="F10" s="445" t="s">
        <v>263</v>
      </c>
      <c r="G10" s="466" t="s">
        <v>322</v>
      </c>
    </row>
    <row r="11" spans="1:7" ht="15">
      <c r="A11" s="445">
        <v>3129</v>
      </c>
      <c r="B11" s="445"/>
      <c r="C11" s="447" t="s">
        <v>264</v>
      </c>
      <c r="D11" s="445" t="s">
        <v>265</v>
      </c>
      <c r="E11" s="445" t="s">
        <v>266</v>
      </c>
      <c r="F11" s="445" t="s">
        <v>267</v>
      </c>
      <c r="G11" s="466" t="s">
        <v>322</v>
      </c>
    </row>
    <row r="12" spans="1:7" ht="15">
      <c r="A12" s="445">
        <v>1310</v>
      </c>
      <c r="B12" s="445"/>
      <c r="C12" s="447" t="s">
        <v>268</v>
      </c>
      <c r="D12" s="445" t="s">
        <v>255</v>
      </c>
      <c r="E12" s="445" t="s">
        <v>269</v>
      </c>
      <c r="F12" s="445" t="s">
        <v>270</v>
      </c>
      <c r="G12" s="466" t="s">
        <v>322</v>
      </c>
    </row>
    <row r="13" spans="1:7" ht="15">
      <c r="A13" s="445">
        <v>1216</v>
      </c>
      <c r="B13" s="445"/>
      <c r="C13" s="447" t="s">
        <v>271</v>
      </c>
      <c r="D13" s="445" t="s">
        <v>272</v>
      </c>
      <c r="E13" s="445" t="s">
        <v>273</v>
      </c>
      <c r="F13" s="445" t="s">
        <v>274</v>
      </c>
      <c r="G13" s="466" t="s">
        <v>322</v>
      </c>
    </row>
    <row r="14" spans="1:7" ht="15">
      <c r="A14" s="445">
        <v>3136</v>
      </c>
      <c r="B14" s="445"/>
      <c r="C14" s="447" t="s">
        <v>264</v>
      </c>
      <c r="D14" s="445" t="s">
        <v>265</v>
      </c>
      <c r="E14" s="445" t="s">
        <v>275</v>
      </c>
      <c r="F14" s="445" t="s">
        <v>276</v>
      </c>
      <c r="G14" s="466" t="s">
        <v>322</v>
      </c>
    </row>
    <row r="15" spans="1:7" ht="15">
      <c r="A15" s="445">
        <v>1225</v>
      </c>
      <c r="B15" s="445"/>
      <c r="C15" s="447" t="s">
        <v>277</v>
      </c>
      <c r="D15" s="445" t="s">
        <v>278</v>
      </c>
      <c r="E15" s="445" t="s">
        <v>279</v>
      </c>
      <c r="F15" s="445" t="s">
        <v>280</v>
      </c>
      <c r="G15" s="466" t="s">
        <v>322</v>
      </c>
    </row>
    <row r="16" spans="1:7" ht="15">
      <c r="A16" s="445">
        <v>1114</v>
      </c>
      <c r="B16" s="445"/>
      <c r="C16" s="447" t="s">
        <v>281</v>
      </c>
      <c r="D16" s="448" t="s">
        <v>282</v>
      </c>
      <c r="E16" s="445" t="s">
        <v>283</v>
      </c>
      <c r="F16" s="445" t="s">
        <v>284</v>
      </c>
      <c r="G16" s="466" t="s">
        <v>322</v>
      </c>
    </row>
    <row r="17" spans="1:7" ht="15">
      <c r="A17" s="445">
        <v>3140</v>
      </c>
      <c r="B17" s="445"/>
      <c r="C17" s="447" t="s">
        <v>285</v>
      </c>
      <c r="D17" s="445" t="s">
        <v>282</v>
      </c>
      <c r="E17" s="445" t="s">
        <v>286</v>
      </c>
      <c r="F17" s="445" t="s">
        <v>287</v>
      </c>
      <c r="G17" s="466" t="s">
        <v>322</v>
      </c>
    </row>
    <row r="18" spans="1:7" ht="15">
      <c r="A18" s="445">
        <v>3148</v>
      </c>
      <c r="B18" s="445"/>
      <c r="C18" s="447" t="s">
        <v>288</v>
      </c>
      <c r="D18" s="445" t="s">
        <v>289</v>
      </c>
      <c r="E18" s="445" t="s">
        <v>290</v>
      </c>
      <c r="F18" s="445" t="s">
        <v>287</v>
      </c>
      <c r="G18" s="466" t="s">
        <v>322</v>
      </c>
    </row>
    <row r="19" spans="1:7" ht="15">
      <c r="A19" s="445">
        <v>1215</v>
      </c>
      <c r="B19" s="445"/>
      <c r="C19" s="447" t="s">
        <v>291</v>
      </c>
      <c r="D19" s="448" t="s">
        <v>289</v>
      </c>
      <c r="E19" s="445" t="s">
        <v>292</v>
      </c>
      <c r="F19" s="445" t="s">
        <v>257</v>
      </c>
      <c r="G19" s="466" t="s">
        <v>322</v>
      </c>
    </row>
    <row r="20" spans="1:7" ht="15">
      <c r="A20" s="445">
        <v>3105</v>
      </c>
      <c r="B20" s="445"/>
      <c r="C20" s="447" t="s">
        <v>293</v>
      </c>
      <c r="D20" s="448" t="s">
        <v>294</v>
      </c>
      <c r="E20" s="445" t="s">
        <v>295</v>
      </c>
      <c r="F20" s="445" t="s">
        <v>270</v>
      </c>
      <c r="G20" s="466" t="s">
        <v>322</v>
      </c>
    </row>
    <row r="21" spans="1:7" ht="15">
      <c r="A21" s="445">
        <v>2318</v>
      </c>
      <c r="B21" s="445"/>
      <c r="C21" s="447" t="s">
        <v>296</v>
      </c>
      <c r="D21" s="448" t="s">
        <v>297</v>
      </c>
      <c r="E21" s="445" t="s">
        <v>298</v>
      </c>
      <c r="F21" s="445" t="s">
        <v>299</v>
      </c>
      <c r="G21" s="466" t="s">
        <v>322</v>
      </c>
    </row>
    <row r="22" spans="1:7" ht="15">
      <c r="A22" s="445">
        <v>1222</v>
      </c>
      <c r="B22" s="445"/>
      <c r="C22" s="447" t="s">
        <v>300</v>
      </c>
      <c r="D22" s="445" t="s">
        <v>301</v>
      </c>
      <c r="E22" s="445" t="s">
        <v>302</v>
      </c>
      <c r="F22" s="445" t="s">
        <v>303</v>
      </c>
      <c r="G22" s="466" t="s">
        <v>322</v>
      </c>
    </row>
    <row r="23" spans="1:7" ht="15">
      <c r="A23" s="445">
        <v>2220</v>
      </c>
      <c r="B23" s="445"/>
      <c r="C23" s="447" t="s">
        <v>304</v>
      </c>
      <c r="D23" s="445" t="s">
        <v>301</v>
      </c>
      <c r="E23" s="445" t="s">
        <v>305</v>
      </c>
      <c r="F23" s="445" t="s">
        <v>306</v>
      </c>
      <c r="G23" s="466" t="s">
        <v>322</v>
      </c>
    </row>
    <row r="24" spans="1:7" ht="15">
      <c r="A24" s="445">
        <v>2222</v>
      </c>
      <c r="B24" s="445"/>
      <c r="C24" s="447" t="s">
        <v>304</v>
      </c>
      <c r="D24" s="445" t="s">
        <v>301</v>
      </c>
      <c r="E24" s="445" t="s">
        <v>305</v>
      </c>
      <c r="F24" s="445" t="s">
        <v>307</v>
      </c>
      <c r="G24" s="466" t="s">
        <v>322</v>
      </c>
    </row>
    <row r="25" spans="1:7" ht="15">
      <c r="A25" s="445">
        <v>2121</v>
      </c>
      <c r="B25" s="445"/>
      <c r="C25" s="447" t="s">
        <v>308</v>
      </c>
      <c r="D25" s="445" t="s">
        <v>309</v>
      </c>
      <c r="E25" s="445" t="s">
        <v>310</v>
      </c>
      <c r="F25" s="445" t="s">
        <v>311</v>
      </c>
      <c r="G25" s="466" t="s">
        <v>322</v>
      </c>
    </row>
    <row r="26" spans="1:7" ht="15">
      <c r="A26" s="445">
        <v>1220</v>
      </c>
      <c r="B26" s="445"/>
      <c r="C26" s="447" t="s">
        <v>312</v>
      </c>
      <c r="D26" s="445" t="s">
        <v>313</v>
      </c>
      <c r="E26" s="445" t="s">
        <v>314</v>
      </c>
      <c r="F26" s="445" t="s">
        <v>315</v>
      </c>
      <c r="G26" s="466" t="s">
        <v>322</v>
      </c>
    </row>
    <row r="27" spans="1:7" ht="15">
      <c r="A27" s="438">
        <v>1206</v>
      </c>
      <c r="B27" s="438"/>
      <c r="C27" s="438" t="s">
        <v>316</v>
      </c>
      <c r="D27" s="438" t="s">
        <v>317</v>
      </c>
      <c r="E27" s="438" t="s">
        <v>318</v>
      </c>
      <c r="F27" s="438" t="s">
        <v>270</v>
      </c>
      <c r="G27" s="466" t="s">
        <v>322</v>
      </c>
    </row>
    <row r="28" spans="1:7" ht="15">
      <c r="A28" s="445">
        <v>1211</v>
      </c>
      <c r="B28" s="445"/>
      <c r="C28" s="447" t="s">
        <v>319</v>
      </c>
      <c r="D28" s="445" t="s">
        <v>317</v>
      </c>
      <c r="E28" s="445" t="s">
        <v>320</v>
      </c>
      <c r="F28" s="445" t="s">
        <v>321</v>
      </c>
      <c r="G28" s="466" t="s">
        <v>322</v>
      </c>
    </row>
    <row r="29" spans="1:7" ht="15">
      <c r="A29" s="445">
        <v>1116</v>
      </c>
      <c r="B29" s="445"/>
      <c r="C29" s="447">
        <v>0.23472222222222222</v>
      </c>
      <c r="D29" s="448">
        <v>0.30902777777777779</v>
      </c>
      <c r="E29" s="445" t="s">
        <v>332</v>
      </c>
      <c r="F29" s="445" t="s">
        <v>270</v>
      </c>
    </row>
    <row r="30" spans="1:7" ht="15">
      <c r="A30" s="445"/>
      <c r="B30" s="445"/>
      <c r="C30" s="447"/>
      <c r="D30" s="445"/>
      <c r="E30" s="445"/>
      <c r="F30" s="445"/>
    </row>
    <row r="31" spans="1:7" ht="15">
      <c r="A31" s="445"/>
      <c r="B31" s="445"/>
      <c r="C31" s="447"/>
      <c r="D31" s="445"/>
      <c r="E31" s="445"/>
      <c r="F31" s="445"/>
    </row>
    <row r="32" spans="1:7" ht="15">
      <c r="A32" s="445"/>
      <c r="B32" s="445"/>
      <c r="C32" s="447"/>
      <c r="D32" s="445"/>
      <c r="E32" s="445"/>
      <c r="F32" s="445"/>
    </row>
    <row r="33" spans="1:6" ht="15">
      <c r="A33" s="445"/>
      <c r="B33" s="445"/>
      <c r="C33" s="447"/>
      <c r="D33" s="445"/>
      <c r="E33" s="445"/>
      <c r="F33" s="445"/>
    </row>
    <row r="34" spans="1:6" ht="15">
      <c r="A34" s="445"/>
      <c r="B34" s="445"/>
      <c r="C34" s="447"/>
      <c r="D34" s="445"/>
      <c r="E34" s="445"/>
      <c r="F34" s="445"/>
    </row>
    <row r="35" spans="1:6" ht="15">
      <c r="A35" s="445"/>
      <c r="B35" s="445"/>
      <c r="C35" s="447"/>
      <c r="D35" s="445"/>
      <c r="E35" s="445"/>
      <c r="F35" s="445"/>
    </row>
    <row r="36" spans="1:6" ht="15">
      <c r="A36" s="435"/>
      <c r="B36" s="435"/>
      <c r="C36" s="436"/>
      <c r="D36" s="435"/>
      <c r="E36" s="435"/>
      <c r="F36" s="435"/>
    </row>
    <row r="37" spans="1:6" ht="15">
      <c r="A37" s="435"/>
      <c r="B37" s="435"/>
      <c r="C37" s="436"/>
      <c r="D37" s="435"/>
      <c r="E37" s="435"/>
      <c r="F37" s="435"/>
    </row>
    <row r="38" spans="1:6" ht="15">
      <c r="A38" s="435"/>
      <c r="B38" s="435"/>
      <c r="C38" s="436"/>
      <c r="D38" s="435"/>
      <c r="E38" s="435"/>
      <c r="F38" s="435"/>
    </row>
    <row r="39" spans="1:6" ht="15">
      <c r="A39" s="435"/>
      <c r="B39" s="435"/>
      <c r="C39" s="436"/>
      <c r="D39" s="435"/>
      <c r="E39" s="435"/>
      <c r="F39" s="435"/>
    </row>
    <row r="40" spans="1:6" ht="15">
      <c r="A40" s="435"/>
      <c r="B40" s="435"/>
      <c r="C40" s="436"/>
      <c r="D40" s="435"/>
      <c r="E40" s="435"/>
      <c r="F40" s="435"/>
    </row>
    <row r="41" spans="1:6" ht="15">
      <c r="A41" s="435"/>
      <c r="B41" s="435"/>
      <c r="C41" s="436"/>
      <c r="D41" s="435"/>
      <c r="E41" s="435"/>
      <c r="F41" s="435"/>
    </row>
    <row r="42" spans="1:6" ht="15">
      <c r="A42" s="435"/>
      <c r="B42" s="435"/>
      <c r="C42" s="436"/>
      <c r="D42" s="435"/>
      <c r="E42" s="435"/>
      <c r="F42" s="435"/>
    </row>
    <row r="43" spans="1:6" ht="15">
      <c r="A43" s="435"/>
      <c r="B43" s="435"/>
      <c r="C43" s="436"/>
      <c r="D43" s="435"/>
      <c r="E43" s="435"/>
      <c r="F43" s="435"/>
    </row>
    <row r="44" spans="1:6" ht="15">
      <c r="A44" s="435"/>
      <c r="B44" s="435"/>
      <c r="C44" s="436"/>
      <c r="D44" s="435"/>
      <c r="E44" s="435"/>
      <c r="F44" s="435"/>
    </row>
    <row r="45" spans="1:6" ht="15">
      <c r="A45" s="435"/>
      <c r="B45" s="435"/>
      <c r="C45" s="436"/>
      <c r="D45" s="435"/>
      <c r="E45" s="435"/>
      <c r="F45" s="435"/>
    </row>
    <row r="46" spans="1:6" ht="15">
      <c r="A46" s="435"/>
      <c r="B46" s="435"/>
      <c r="C46" s="436"/>
      <c r="D46" s="435"/>
      <c r="E46" s="435"/>
      <c r="F46" s="435"/>
    </row>
    <row r="47" spans="1:6" ht="15">
      <c r="A47" s="435"/>
      <c r="B47" s="435"/>
      <c r="C47" s="436"/>
      <c r="D47" s="435"/>
      <c r="E47" s="435"/>
      <c r="F47" s="435"/>
    </row>
    <row r="48" spans="1:6" ht="15">
      <c r="A48" s="437"/>
      <c r="B48" s="437"/>
      <c r="C48" s="438"/>
      <c r="D48" s="437"/>
      <c r="E48" s="437"/>
      <c r="F48" s="437"/>
    </row>
    <row r="49" spans="1:6" ht="15">
      <c r="A49" s="435"/>
      <c r="B49" s="435"/>
      <c r="C49" s="436"/>
      <c r="D49" s="435"/>
      <c r="E49" s="435"/>
      <c r="F49" s="435"/>
    </row>
    <row r="50" spans="1:6" ht="15">
      <c r="A50" s="435"/>
      <c r="B50" s="435"/>
      <c r="C50" s="436"/>
      <c r="D50" s="435"/>
      <c r="E50" s="435"/>
      <c r="F50" s="435"/>
    </row>
    <row r="51" spans="1:6" ht="15">
      <c r="A51" s="435"/>
      <c r="B51" s="435"/>
      <c r="C51" s="436"/>
      <c r="D51" s="435"/>
      <c r="E51" s="435"/>
      <c r="F51" s="435"/>
    </row>
    <row r="52" spans="1:6" ht="15">
      <c r="A52" s="435"/>
      <c r="B52" s="435"/>
      <c r="C52" s="436"/>
      <c r="D52" s="435"/>
      <c r="E52" s="435"/>
      <c r="F52" s="435"/>
    </row>
    <row r="53" spans="1:6" ht="15">
      <c r="A53" s="435"/>
      <c r="B53" s="435"/>
      <c r="C53" s="436"/>
      <c r="D53" s="435"/>
      <c r="E53" s="435"/>
      <c r="F53" s="435"/>
    </row>
    <row r="54" spans="1:6" ht="15">
      <c r="A54" s="437"/>
      <c r="B54" s="437"/>
      <c r="C54" s="438"/>
      <c r="D54" s="437"/>
      <c r="E54" s="437"/>
      <c r="F54" s="437"/>
    </row>
    <row r="55" spans="1:6" ht="15">
      <c r="A55" s="435"/>
      <c r="B55" s="435"/>
      <c r="C55" s="436"/>
      <c r="D55" s="435"/>
      <c r="E55" s="435"/>
      <c r="F55" s="435"/>
    </row>
    <row r="56" spans="1:6" ht="15">
      <c r="A56" s="435"/>
      <c r="B56" s="435"/>
      <c r="C56" s="436"/>
      <c r="D56" s="435"/>
      <c r="E56" s="435"/>
      <c r="F56" s="435"/>
    </row>
    <row r="57" spans="1:6" ht="15">
      <c r="A57" s="435"/>
      <c r="B57" s="435"/>
      <c r="C57" s="436"/>
      <c r="D57" s="435"/>
      <c r="E57" s="435"/>
      <c r="F57" s="435"/>
    </row>
    <row r="58" spans="1:6" ht="15">
      <c r="A58" s="435"/>
      <c r="B58" s="435"/>
      <c r="C58" s="436"/>
      <c r="D58" s="435"/>
      <c r="E58" s="435"/>
      <c r="F58" s="435"/>
    </row>
    <row r="59" spans="1:6" ht="15">
      <c r="A59" s="435"/>
      <c r="B59" s="435"/>
      <c r="C59" s="436"/>
      <c r="D59" s="435"/>
      <c r="E59" s="435"/>
      <c r="F59" s="435"/>
    </row>
    <row r="60" spans="1:6" ht="15">
      <c r="A60" s="437"/>
      <c r="B60" s="437"/>
      <c r="C60" s="438"/>
      <c r="D60" s="437"/>
      <c r="E60" s="437"/>
      <c r="F60" s="437"/>
    </row>
    <row r="61" spans="1:6" ht="15">
      <c r="A61" s="435"/>
      <c r="B61" s="435"/>
      <c r="C61" s="436"/>
      <c r="D61" s="435"/>
      <c r="E61" s="435"/>
      <c r="F61" s="435"/>
    </row>
    <row r="62" spans="1:6" ht="15">
      <c r="A62" s="435"/>
      <c r="B62" s="435"/>
      <c r="C62" s="436"/>
      <c r="D62" s="435"/>
      <c r="E62" s="435"/>
      <c r="F62" s="435"/>
    </row>
    <row r="63" spans="1:6" ht="15">
      <c r="A63" s="435"/>
      <c r="B63" s="435"/>
      <c r="C63" s="436"/>
      <c r="D63" s="435"/>
      <c r="E63" s="435"/>
      <c r="F63" s="435"/>
    </row>
    <row r="64" spans="1:6" ht="15">
      <c r="A64" s="435"/>
      <c r="B64" s="435"/>
      <c r="C64" s="436"/>
      <c r="D64" s="435"/>
      <c r="E64" s="435"/>
      <c r="F64" s="435"/>
    </row>
    <row r="65" spans="1:6" ht="15">
      <c r="A65" s="435"/>
      <c r="B65" s="435"/>
      <c r="C65" s="436"/>
      <c r="D65" s="435"/>
      <c r="E65" s="435"/>
      <c r="F65" s="435"/>
    </row>
    <row r="66" spans="1:6" ht="15">
      <c r="A66" s="437"/>
      <c r="B66" s="437"/>
      <c r="C66" s="438"/>
      <c r="D66" s="437"/>
      <c r="E66" s="437"/>
      <c r="F66" s="437"/>
    </row>
    <row r="67" spans="1:6" ht="15">
      <c r="A67" s="435"/>
      <c r="B67" s="435"/>
      <c r="C67" s="436"/>
      <c r="D67" s="435"/>
      <c r="E67" s="435"/>
      <c r="F67" s="435"/>
    </row>
    <row r="68" spans="1:6" ht="15">
      <c r="A68" s="435"/>
      <c r="B68" s="435"/>
      <c r="C68" s="436"/>
      <c r="D68" s="435"/>
      <c r="E68" s="435"/>
      <c r="F68" s="435"/>
    </row>
    <row r="69" spans="1:6" ht="15">
      <c r="A69" s="435"/>
      <c r="B69" s="435"/>
      <c r="C69" s="436"/>
      <c r="D69" s="435"/>
      <c r="E69" s="435"/>
      <c r="F69" s="435"/>
    </row>
    <row r="70" spans="1:6" ht="15">
      <c r="A70" s="435"/>
      <c r="B70" s="435"/>
      <c r="C70" s="436"/>
      <c r="D70" s="435"/>
      <c r="E70" s="435"/>
      <c r="F70" s="435"/>
    </row>
    <row r="71" spans="1:6" ht="15">
      <c r="A71" s="435"/>
      <c r="B71" s="435"/>
      <c r="C71" s="436"/>
      <c r="D71" s="435"/>
      <c r="E71" s="435"/>
      <c r="F71" s="435"/>
    </row>
    <row r="72" spans="1:6" ht="15">
      <c r="A72" s="435"/>
      <c r="B72" s="435"/>
      <c r="C72" s="436"/>
      <c r="D72" s="435"/>
      <c r="E72" s="435"/>
      <c r="F72" s="435"/>
    </row>
    <row r="73" spans="1:6" ht="15">
      <c r="A73" s="435"/>
      <c r="B73" s="435"/>
      <c r="C73" s="436"/>
      <c r="D73" s="435"/>
      <c r="E73" s="435"/>
      <c r="F73" s="435"/>
    </row>
    <row r="74" spans="1:6" ht="15">
      <c r="A74" s="435"/>
      <c r="B74" s="435"/>
      <c r="C74" s="436"/>
      <c r="D74" s="435"/>
      <c r="E74" s="435"/>
      <c r="F74" s="435"/>
    </row>
    <row r="75" spans="1:6" ht="15">
      <c r="A75" s="435"/>
      <c r="B75" s="435"/>
      <c r="C75" s="436"/>
      <c r="D75" s="435"/>
      <c r="E75" s="435"/>
      <c r="F75" s="435"/>
    </row>
    <row r="76" spans="1:6" ht="15">
      <c r="A76" s="437"/>
      <c r="B76" s="437"/>
      <c r="C76" s="438"/>
      <c r="D76" s="437"/>
      <c r="E76" s="437"/>
      <c r="F76" s="437"/>
    </row>
    <row r="77" spans="1:6" ht="15">
      <c r="A77" s="435"/>
      <c r="B77" s="435"/>
      <c r="C77" s="436"/>
      <c r="D77" s="435"/>
      <c r="E77" s="435"/>
      <c r="F77" s="435"/>
    </row>
    <row r="78" spans="1:6" ht="15">
      <c r="A78" s="435"/>
      <c r="B78" s="435"/>
      <c r="C78" s="436"/>
      <c r="D78" s="435"/>
      <c r="E78" s="435"/>
      <c r="F78" s="435"/>
    </row>
    <row r="79" spans="1:6" ht="15">
      <c r="A79" s="435"/>
      <c r="B79" s="435"/>
      <c r="C79" s="436"/>
      <c r="D79" s="435"/>
      <c r="E79" s="435"/>
      <c r="F79" s="435"/>
    </row>
    <row r="80" spans="1:6" ht="15">
      <c r="A80" s="435"/>
      <c r="B80" s="435"/>
      <c r="C80" s="436"/>
      <c r="D80" s="435"/>
      <c r="E80" s="435"/>
      <c r="F80" s="435"/>
    </row>
    <row r="81" spans="1:6" ht="15">
      <c r="A81" s="435"/>
      <c r="B81" s="435"/>
      <c r="C81" s="436"/>
      <c r="D81" s="435"/>
      <c r="E81" s="435"/>
      <c r="F81" s="435"/>
    </row>
    <row r="82" spans="1:6" ht="15">
      <c r="A82" s="437"/>
      <c r="B82" s="437"/>
      <c r="C82" s="438"/>
      <c r="D82" s="437"/>
      <c r="E82" s="437"/>
      <c r="F82" s="437"/>
    </row>
    <row r="83" spans="1:6" ht="15">
      <c r="A83" s="435"/>
      <c r="B83" s="435"/>
      <c r="C83" s="436"/>
      <c r="D83" s="435"/>
      <c r="E83" s="435"/>
      <c r="F83" s="435"/>
    </row>
    <row r="84" spans="1:6" ht="15">
      <c r="A84" s="435"/>
      <c r="B84" s="435"/>
      <c r="C84" s="436"/>
      <c r="D84" s="435"/>
      <c r="E84" s="435"/>
      <c r="F84" s="435"/>
    </row>
    <row r="85" spans="1:6" ht="15">
      <c r="A85" s="435"/>
      <c r="B85" s="435"/>
      <c r="C85" s="436"/>
      <c r="D85" s="435"/>
      <c r="E85" s="435"/>
      <c r="F85" s="435"/>
    </row>
    <row r="86" spans="1:6" ht="15">
      <c r="A86" s="435"/>
      <c r="B86" s="435"/>
      <c r="C86" s="436"/>
      <c r="D86" s="435"/>
      <c r="E86" s="435"/>
      <c r="F86" s="435"/>
    </row>
    <row r="87" spans="1:6" ht="15">
      <c r="A87" s="435"/>
      <c r="B87" s="435"/>
      <c r="C87" s="436"/>
      <c r="D87" s="435"/>
      <c r="E87" s="435"/>
      <c r="F87" s="435"/>
    </row>
    <row r="88" spans="1:6" ht="15">
      <c r="A88" s="435"/>
      <c r="B88" s="435"/>
      <c r="C88" s="436"/>
      <c r="D88" s="435"/>
      <c r="E88" s="435"/>
      <c r="F88" s="435"/>
    </row>
    <row r="89" spans="1:6" ht="15">
      <c r="A89" s="435"/>
      <c r="B89" s="435"/>
      <c r="C89" s="436"/>
      <c r="D89" s="435"/>
      <c r="E89" s="435"/>
      <c r="F89" s="435"/>
    </row>
    <row r="90" spans="1:6" ht="15">
      <c r="A90" s="435"/>
      <c r="B90" s="435"/>
      <c r="C90" s="436"/>
      <c r="D90" s="435"/>
      <c r="E90" s="435"/>
      <c r="F90" s="435"/>
    </row>
    <row r="91" spans="1:6" ht="15">
      <c r="A91" s="435"/>
      <c r="B91" s="435"/>
      <c r="C91" s="436"/>
      <c r="D91" s="435"/>
      <c r="E91" s="435"/>
      <c r="F91" s="435"/>
    </row>
    <row r="92" spans="1:6" ht="15">
      <c r="A92" s="437"/>
      <c r="B92" s="437"/>
      <c r="C92" s="438"/>
      <c r="D92" s="437"/>
      <c r="E92" s="437"/>
      <c r="F92" s="437"/>
    </row>
    <row r="93" spans="1:6" ht="15">
      <c r="A93" s="435"/>
      <c r="B93" s="435"/>
      <c r="C93" s="436"/>
      <c r="D93" s="435"/>
      <c r="E93" s="435"/>
      <c r="F93" s="435"/>
    </row>
    <row r="94" spans="1:6" ht="15">
      <c r="A94" s="435"/>
      <c r="B94" s="435"/>
      <c r="C94" s="436"/>
      <c r="D94" s="435"/>
      <c r="E94" s="435"/>
      <c r="F94" s="435"/>
    </row>
    <row r="95" spans="1:6" ht="15">
      <c r="A95" s="435"/>
      <c r="B95" s="435"/>
      <c r="C95" s="436"/>
      <c r="D95" s="435"/>
      <c r="E95" s="435"/>
      <c r="F95" s="435"/>
    </row>
    <row r="96" spans="1:6" ht="15">
      <c r="A96" s="435"/>
      <c r="B96" s="435"/>
      <c r="C96" s="436"/>
      <c r="D96" s="435"/>
      <c r="E96" s="435"/>
      <c r="F96" s="435"/>
    </row>
    <row r="97" spans="1:6" ht="15">
      <c r="A97" s="435"/>
      <c r="B97" s="435"/>
      <c r="C97" s="436"/>
      <c r="D97" s="435"/>
      <c r="E97" s="435"/>
      <c r="F97" s="435"/>
    </row>
    <row r="98" spans="1:6" ht="15">
      <c r="A98" s="437"/>
      <c r="B98" s="437"/>
      <c r="C98" s="438"/>
      <c r="D98" s="437"/>
      <c r="E98" s="437"/>
      <c r="F98" s="437"/>
    </row>
    <row r="99" spans="1:6" ht="15">
      <c r="A99" s="435"/>
      <c r="B99" s="435"/>
      <c r="C99" s="436"/>
      <c r="D99" s="435"/>
      <c r="E99" s="435"/>
      <c r="F99" s="435"/>
    </row>
    <row r="100" spans="1:6" ht="15">
      <c r="A100" s="435"/>
      <c r="B100" s="435"/>
      <c r="C100" s="436"/>
      <c r="D100" s="435"/>
      <c r="E100" s="435"/>
      <c r="F100" s="435"/>
    </row>
    <row r="101" spans="1:6" ht="15">
      <c r="A101" s="435"/>
      <c r="B101" s="435"/>
      <c r="C101" s="436"/>
      <c r="D101" s="435"/>
      <c r="E101" s="435"/>
      <c r="F101" s="435"/>
    </row>
    <row r="102" spans="1:6" ht="15">
      <c r="A102" s="435"/>
      <c r="B102" s="435"/>
      <c r="C102" s="436"/>
      <c r="D102" s="435"/>
      <c r="E102" s="435"/>
      <c r="F102" s="435"/>
    </row>
    <row r="103" spans="1:6" ht="15">
      <c r="A103" s="435"/>
      <c r="B103" s="435"/>
      <c r="C103" s="436"/>
      <c r="D103" s="435"/>
      <c r="E103" s="435"/>
      <c r="F103" s="435"/>
    </row>
  </sheetData>
  <mergeCells count="1">
    <mergeCell ref="A1:F2"/>
  </mergeCells>
  <dataValidations count="1">
    <dataValidation type="list" allowBlank="1" showInputMessage="1" showErrorMessage="1" sqref="B4:B103" xr:uid="{BED5D41A-3C97-487E-AE21-2AAB6D42F66B}">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3E79-7BD2-4A82-AE48-B134DA453549}">
  <sheetPr>
    <tabColor rgb="FFFFFF00"/>
  </sheetPr>
  <dimension ref="A1:G49"/>
  <sheetViews>
    <sheetView topLeftCell="B1" workbookViewId="0">
      <selection activeCell="E9" sqref="E9"/>
    </sheetView>
  </sheetViews>
  <sheetFormatPr defaultRowHeight="12.75"/>
  <cols>
    <col min="1" max="1" width="15" customWidth="1"/>
    <col min="3" max="3" width="19" customWidth="1"/>
    <col min="4" max="4" width="20.140625" customWidth="1"/>
    <col min="5" max="5" width="33.28515625" customWidth="1"/>
    <col min="6" max="6" width="30" customWidth="1"/>
    <col min="7" max="7" width="55.5703125" customWidth="1"/>
  </cols>
  <sheetData>
    <row r="1" spans="1:7">
      <c r="A1" s="478" t="s">
        <v>160</v>
      </c>
      <c r="B1" s="479"/>
      <c r="C1" s="479"/>
      <c r="D1" s="479"/>
      <c r="E1" s="479"/>
      <c r="F1" s="479"/>
      <c r="G1" s="479"/>
    </row>
    <row r="2" spans="1:7">
      <c r="A2" s="480"/>
      <c r="B2" s="481"/>
      <c r="C2" s="481"/>
      <c r="D2" s="481"/>
      <c r="E2" s="481"/>
      <c r="F2" s="481"/>
      <c r="G2" s="481"/>
    </row>
    <row r="3" spans="1:7" ht="15">
      <c r="A3" s="434" t="s">
        <v>161</v>
      </c>
      <c r="B3" s="434" t="s">
        <v>162</v>
      </c>
      <c r="C3" s="434" t="s">
        <v>43</v>
      </c>
      <c r="D3" s="434" t="s">
        <v>163</v>
      </c>
      <c r="E3" s="434" t="s">
        <v>18</v>
      </c>
      <c r="F3" s="434" t="s">
        <v>164</v>
      </c>
      <c r="G3" s="434" t="s">
        <v>165</v>
      </c>
    </row>
    <row r="4" spans="1:7" ht="12.75" customHeight="1">
      <c r="A4" s="445" t="s">
        <v>173</v>
      </c>
      <c r="B4" s="446">
        <v>46160</v>
      </c>
      <c r="C4" s="460">
        <v>1204</v>
      </c>
      <c r="D4" s="445">
        <v>1207</v>
      </c>
      <c r="E4" s="445" t="s">
        <v>251</v>
      </c>
      <c r="F4" s="445"/>
      <c r="G4" s="445"/>
    </row>
    <row r="5" spans="1:7" ht="12.75" customHeight="1">
      <c r="A5" s="445"/>
      <c r="B5" s="447"/>
      <c r="C5" s="460"/>
      <c r="D5" s="445"/>
      <c r="E5" s="445"/>
      <c r="F5" s="445"/>
      <c r="G5" s="445"/>
    </row>
    <row r="6" spans="1:7" ht="15">
      <c r="A6" s="445"/>
      <c r="B6" s="447"/>
      <c r="C6" s="460"/>
      <c r="D6" s="445"/>
      <c r="E6" s="445"/>
      <c r="F6" s="445"/>
      <c r="G6" s="445"/>
    </row>
    <row r="7" spans="1:7" ht="15">
      <c r="A7" s="445"/>
      <c r="B7" s="447"/>
      <c r="C7" s="460"/>
      <c r="D7" s="445"/>
      <c r="E7" s="445"/>
      <c r="F7" s="445"/>
      <c r="G7" s="445"/>
    </row>
    <row r="8" spans="1:7" ht="15">
      <c r="A8" s="445"/>
      <c r="B8" s="447"/>
      <c r="C8" s="460"/>
      <c r="D8" s="445"/>
      <c r="E8" s="445"/>
      <c r="F8" s="445"/>
      <c r="G8" s="445"/>
    </row>
    <row r="9" spans="1:7" ht="15">
      <c r="A9" s="445"/>
      <c r="B9" s="447"/>
      <c r="C9" s="460"/>
      <c r="D9" s="445"/>
      <c r="E9" s="445"/>
      <c r="F9" s="445"/>
      <c r="G9" s="445"/>
    </row>
    <row r="10" spans="1:7" ht="15">
      <c r="A10" s="445"/>
      <c r="B10" s="447"/>
      <c r="C10" s="460"/>
      <c r="D10" s="445"/>
      <c r="E10" s="445"/>
      <c r="F10" s="445"/>
      <c r="G10" s="445"/>
    </row>
    <row r="11" spans="1:7" ht="15">
      <c r="A11" s="445"/>
      <c r="B11" s="447"/>
      <c r="C11" s="460"/>
      <c r="D11" s="445"/>
      <c r="E11" s="445"/>
      <c r="F11" s="445"/>
      <c r="G11" s="445"/>
    </row>
    <row r="12" spans="1:7" ht="15">
      <c r="A12" s="445"/>
      <c r="B12" s="447"/>
      <c r="C12" s="460"/>
      <c r="D12" s="445"/>
      <c r="E12" s="445"/>
      <c r="F12" s="445"/>
      <c r="G12" s="445"/>
    </row>
    <row r="13" spans="1:7" ht="15">
      <c r="A13" s="445"/>
      <c r="B13" s="447"/>
      <c r="C13" s="460"/>
      <c r="D13" s="445"/>
      <c r="E13" s="445"/>
      <c r="F13" s="445"/>
      <c r="G13" s="445"/>
    </row>
    <row r="14" spans="1:7" ht="15">
      <c r="A14" s="445"/>
      <c r="B14" s="447"/>
      <c r="C14" s="460"/>
      <c r="D14" s="445"/>
      <c r="E14" s="445"/>
      <c r="F14" s="445"/>
      <c r="G14" s="445"/>
    </row>
    <row r="15" spans="1:7" ht="15">
      <c r="A15" s="445"/>
      <c r="B15" s="445"/>
      <c r="C15" s="460"/>
      <c r="D15" s="445"/>
      <c r="E15" s="445"/>
      <c r="F15" s="445"/>
      <c r="G15" s="445"/>
    </row>
    <row r="16" spans="1:7" ht="15">
      <c r="A16" s="445"/>
      <c r="B16" s="447"/>
      <c r="C16" s="460"/>
      <c r="D16" s="445"/>
      <c r="E16" s="445"/>
      <c r="F16" s="445"/>
      <c r="G16" s="445"/>
    </row>
    <row r="17" spans="1:7" ht="15">
      <c r="A17" s="445"/>
      <c r="B17" s="447"/>
      <c r="C17" s="460"/>
      <c r="D17" s="445"/>
      <c r="E17" s="445"/>
      <c r="F17" s="445"/>
      <c r="G17" s="445"/>
    </row>
    <row r="18" spans="1:7" ht="15">
      <c r="A18" s="445"/>
      <c r="B18" s="447"/>
      <c r="C18" s="460"/>
      <c r="D18" s="445"/>
      <c r="E18" s="445"/>
      <c r="F18" s="445"/>
      <c r="G18" s="445"/>
    </row>
    <row r="19" spans="1:7" ht="15">
      <c r="A19" s="445"/>
      <c r="B19" s="447"/>
      <c r="C19" s="460"/>
      <c r="D19" s="445"/>
      <c r="E19" s="445"/>
      <c r="F19" s="445"/>
      <c r="G19" s="445"/>
    </row>
    <row r="20" spans="1:7" ht="15">
      <c r="A20" s="445"/>
      <c r="B20" s="447"/>
      <c r="C20" s="460"/>
      <c r="D20" s="445"/>
      <c r="E20" s="445"/>
      <c r="F20" s="445"/>
      <c r="G20" s="445"/>
    </row>
    <row r="21" spans="1:7" ht="15">
      <c r="A21" s="445"/>
      <c r="B21" s="447"/>
      <c r="C21" s="460"/>
      <c r="D21" s="445"/>
      <c r="E21" s="445"/>
      <c r="F21" s="445"/>
      <c r="G21" s="445"/>
    </row>
    <row r="22" spans="1:7" ht="15">
      <c r="A22" s="445"/>
      <c r="B22" s="447"/>
      <c r="C22" s="460"/>
      <c r="D22" s="445"/>
      <c r="E22" s="445"/>
      <c r="F22" s="445"/>
      <c r="G22" s="445"/>
    </row>
    <row r="23" spans="1:7" ht="15">
      <c r="A23" s="445"/>
      <c r="B23" s="447"/>
      <c r="C23" s="460"/>
      <c r="D23" s="445"/>
      <c r="E23" s="445"/>
      <c r="F23" s="445"/>
      <c r="G23" s="445"/>
    </row>
    <row r="24" spans="1:7" ht="15">
      <c r="A24" s="445"/>
      <c r="B24" s="447"/>
      <c r="C24" s="460"/>
      <c r="D24" s="445"/>
      <c r="E24" s="445"/>
      <c r="F24" s="445"/>
      <c r="G24" s="445"/>
    </row>
    <row r="25" spans="1:7" ht="15">
      <c r="A25" s="445"/>
      <c r="B25" s="447"/>
      <c r="C25" s="460"/>
      <c r="D25" s="445"/>
      <c r="E25" s="445"/>
      <c r="F25" s="445"/>
      <c r="G25" s="445"/>
    </row>
    <row r="26" spans="1:7" ht="15">
      <c r="A26" s="445"/>
      <c r="B26" s="447"/>
      <c r="C26" s="460"/>
      <c r="D26" s="445"/>
      <c r="E26" s="445"/>
      <c r="F26" s="445"/>
      <c r="G26" s="445"/>
    </row>
    <row r="27" spans="1:7" ht="15">
      <c r="A27" s="445"/>
      <c r="B27" s="447"/>
      <c r="C27" s="460"/>
      <c r="D27" s="445"/>
      <c r="E27" s="445"/>
      <c r="F27" s="445"/>
      <c r="G27" s="445"/>
    </row>
    <row r="28" spans="1:7" ht="15">
      <c r="A28" s="445"/>
      <c r="B28" s="447"/>
      <c r="C28" s="460"/>
      <c r="D28" s="445"/>
      <c r="E28" s="445"/>
      <c r="F28" s="445"/>
      <c r="G28" s="445"/>
    </row>
    <row r="29" spans="1:7" ht="15">
      <c r="A29" s="445"/>
      <c r="B29" s="447"/>
      <c r="C29" s="460"/>
      <c r="D29" s="445"/>
      <c r="E29" s="445"/>
      <c r="F29" s="445"/>
      <c r="G29" s="445"/>
    </row>
    <row r="30" spans="1:7" ht="15">
      <c r="A30" s="445"/>
      <c r="B30" s="447"/>
      <c r="C30" s="460"/>
      <c r="D30" s="445"/>
      <c r="E30" s="445"/>
      <c r="F30" s="445"/>
      <c r="G30" s="445"/>
    </row>
    <row r="31" spans="1:7" ht="15">
      <c r="A31" s="445"/>
      <c r="B31" s="447"/>
      <c r="C31" s="460"/>
      <c r="D31" s="445"/>
      <c r="E31" s="445"/>
      <c r="F31" s="445"/>
      <c r="G31" s="445"/>
    </row>
    <row r="32" spans="1:7" ht="15">
      <c r="A32" s="435"/>
      <c r="B32" s="436"/>
      <c r="C32" s="461"/>
      <c r="D32" s="435"/>
      <c r="E32" s="435"/>
      <c r="F32" s="435"/>
      <c r="G32" s="435"/>
    </row>
    <row r="33" spans="1:7" ht="15">
      <c r="A33" s="435"/>
      <c r="B33" s="436"/>
      <c r="C33" s="436"/>
      <c r="D33" s="435"/>
      <c r="E33" s="435"/>
      <c r="F33" s="435"/>
      <c r="G33" s="435"/>
    </row>
    <row r="34" spans="1:7" ht="15">
      <c r="A34" s="435"/>
      <c r="B34" s="436"/>
      <c r="C34" s="436"/>
      <c r="D34" s="435"/>
      <c r="E34" s="435"/>
      <c r="F34" s="435"/>
      <c r="G34" s="435"/>
    </row>
    <row r="35" spans="1:7" ht="15">
      <c r="A35" s="435"/>
      <c r="B35" s="436"/>
      <c r="C35" s="436"/>
      <c r="D35" s="435"/>
      <c r="E35" s="435"/>
      <c r="F35" s="435"/>
      <c r="G35" s="435"/>
    </row>
    <row r="36" spans="1:7" ht="15">
      <c r="A36" s="435"/>
      <c r="B36" s="436"/>
      <c r="C36" s="436"/>
      <c r="D36" s="435"/>
      <c r="E36" s="435"/>
      <c r="F36" s="435"/>
      <c r="G36" s="435"/>
    </row>
    <row r="37" spans="1:7" ht="15">
      <c r="A37" s="435"/>
      <c r="B37" s="436"/>
      <c r="C37" s="436"/>
      <c r="D37" s="435"/>
      <c r="E37" s="435"/>
      <c r="F37" s="435"/>
      <c r="G37" s="435"/>
    </row>
    <row r="38" spans="1:7" ht="15">
      <c r="A38" s="435"/>
      <c r="B38" s="435"/>
      <c r="C38" s="435"/>
      <c r="D38" s="435"/>
      <c r="E38" s="435"/>
      <c r="F38" s="435"/>
      <c r="G38" s="435"/>
    </row>
    <row r="39" spans="1:7" ht="15">
      <c r="A39" s="435"/>
      <c r="B39" s="436"/>
      <c r="C39" s="436"/>
      <c r="D39" s="435"/>
      <c r="E39" s="435"/>
      <c r="F39" s="435"/>
      <c r="G39" s="435"/>
    </row>
    <row r="40" spans="1:7" ht="15">
      <c r="A40" s="435"/>
      <c r="B40" s="436"/>
      <c r="C40" s="436"/>
      <c r="D40" s="435"/>
      <c r="E40" s="435"/>
      <c r="F40" s="435"/>
      <c r="G40" s="435"/>
    </row>
    <row r="41" spans="1:7" ht="15">
      <c r="A41" s="435"/>
      <c r="B41" s="436"/>
      <c r="C41" s="436"/>
      <c r="D41" s="435"/>
      <c r="E41" s="435"/>
      <c r="F41" s="435"/>
      <c r="G41" s="435"/>
    </row>
    <row r="42" spans="1:7" ht="15">
      <c r="A42" s="435"/>
      <c r="B42" s="436"/>
      <c r="C42" s="436"/>
      <c r="D42" s="435"/>
      <c r="E42" s="435"/>
      <c r="F42" s="435"/>
      <c r="G42" s="435"/>
    </row>
    <row r="43" spans="1:7" ht="15">
      <c r="A43" s="435"/>
      <c r="B43" s="436"/>
      <c r="C43" s="436"/>
      <c r="D43" s="435"/>
      <c r="E43" s="435"/>
      <c r="F43" s="435"/>
      <c r="G43" s="435"/>
    </row>
    <row r="44" spans="1:7" ht="15">
      <c r="A44" s="435"/>
      <c r="B44" s="436"/>
      <c r="C44" s="436"/>
      <c r="D44" s="435"/>
      <c r="E44" s="435"/>
      <c r="F44" s="435"/>
      <c r="G44" s="435"/>
    </row>
    <row r="45" spans="1:7" ht="15">
      <c r="A45" s="435"/>
      <c r="B45" s="436"/>
      <c r="C45" s="436"/>
      <c r="D45" s="435"/>
      <c r="E45" s="435"/>
      <c r="F45" s="435"/>
      <c r="G45" s="435"/>
    </row>
    <row r="46" spans="1:7" ht="15">
      <c r="A46" s="435"/>
      <c r="B46" s="436"/>
      <c r="C46" s="436"/>
      <c r="D46" s="435"/>
      <c r="E46" s="435"/>
      <c r="F46" s="435"/>
      <c r="G46" s="435"/>
    </row>
    <row r="47" spans="1:7" ht="15">
      <c r="A47" s="435"/>
      <c r="B47" s="436"/>
      <c r="C47" s="436"/>
      <c r="D47" s="435"/>
      <c r="E47" s="435"/>
      <c r="F47" s="435"/>
      <c r="G47" s="435"/>
    </row>
    <row r="48" spans="1:7" ht="15">
      <c r="A48" s="435"/>
      <c r="B48" s="436"/>
      <c r="C48" s="436"/>
      <c r="D48" s="435"/>
      <c r="E48" s="435"/>
      <c r="F48" s="435"/>
      <c r="G48" s="435"/>
    </row>
    <row r="49" spans="1:7" ht="15">
      <c r="A49" s="435"/>
      <c r="B49" s="436"/>
      <c r="C49" s="436"/>
      <c r="D49" s="435"/>
      <c r="E49" s="435"/>
      <c r="F49" s="435"/>
      <c r="G49" s="435"/>
    </row>
  </sheetData>
  <mergeCells count="1">
    <mergeCell ref="A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51A8-0FA1-41AE-A507-5A759758A073}">
  <sheetPr>
    <tabColor theme="8" tint="-0.249977111117893"/>
  </sheetPr>
  <dimension ref="A1:F31"/>
  <sheetViews>
    <sheetView workbookViewId="0">
      <selection sqref="A1:F13"/>
    </sheetView>
  </sheetViews>
  <sheetFormatPr defaultRowHeight="12.75"/>
  <cols>
    <col min="1" max="1" width="18.42578125" customWidth="1"/>
    <col min="2" max="2" width="28.42578125" customWidth="1"/>
    <col min="3" max="4" width="32.85546875" customWidth="1"/>
    <col min="5" max="5" width="51.85546875" customWidth="1"/>
    <col min="6" max="6" width="47.28515625" customWidth="1"/>
  </cols>
  <sheetData>
    <row r="1" spans="1:6">
      <c r="A1" s="478" t="s">
        <v>151</v>
      </c>
      <c r="B1" s="479"/>
      <c r="C1" s="479"/>
      <c r="D1" s="479"/>
      <c r="E1" s="479"/>
      <c r="F1" s="479"/>
    </row>
    <row r="2" spans="1:6">
      <c r="A2" s="480"/>
      <c r="B2" s="481"/>
      <c r="C2" s="481"/>
      <c r="D2" s="481"/>
      <c r="E2" s="481"/>
      <c r="F2" s="481"/>
    </row>
    <row r="3" spans="1:6" ht="15">
      <c r="A3" s="434" t="s">
        <v>152</v>
      </c>
      <c r="B3" s="434" t="s">
        <v>153</v>
      </c>
      <c r="C3" s="434" t="s">
        <v>154</v>
      </c>
      <c r="D3" s="434" t="s">
        <v>155</v>
      </c>
      <c r="E3" s="434" t="s">
        <v>156</v>
      </c>
      <c r="F3" s="434" t="s">
        <v>157</v>
      </c>
    </row>
    <row r="4" spans="1:6" ht="15">
      <c r="A4" s="445"/>
      <c r="B4" s="447">
        <v>4.1666666666666664E-2</v>
      </c>
      <c r="C4" s="445"/>
      <c r="D4" s="445"/>
      <c r="E4" s="445"/>
      <c r="F4" s="445"/>
    </row>
    <row r="5" spans="1:6" ht="15">
      <c r="A5" s="445"/>
      <c r="B5" s="447">
        <v>8.3333333333333329E-2</v>
      </c>
      <c r="C5" s="445"/>
      <c r="D5" s="445"/>
      <c r="E5" s="445"/>
      <c r="F5" s="445"/>
    </row>
    <row r="6" spans="1:6" ht="15">
      <c r="A6" s="445"/>
      <c r="B6" s="447">
        <v>0.125</v>
      </c>
      <c r="C6" s="445"/>
      <c r="D6" s="445"/>
      <c r="E6" s="445"/>
      <c r="F6" s="445"/>
    </row>
    <row r="7" spans="1:6" ht="15">
      <c r="A7" s="445"/>
      <c r="B7" s="447">
        <v>0.16666666666666666</v>
      </c>
      <c r="C7" s="445"/>
      <c r="D7" s="445"/>
      <c r="E7" s="445"/>
      <c r="F7" s="445"/>
    </row>
    <row r="8" spans="1:6" ht="15">
      <c r="A8" s="445"/>
      <c r="B8" s="447">
        <v>0.20833333333333334</v>
      </c>
      <c r="C8" s="445"/>
      <c r="D8" s="445"/>
      <c r="E8" s="445"/>
      <c r="F8" s="445"/>
    </row>
    <row r="9" spans="1:6" ht="15">
      <c r="A9" s="445"/>
      <c r="B9" s="447">
        <v>0.25</v>
      </c>
      <c r="C9" s="445"/>
      <c r="D9" s="445"/>
      <c r="E9" s="445"/>
      <c r="F9" s="445"/>
    </row>
    <row r="10" spans="1:6" ht="15">
      <c r="A10" s="445"/>
      <c r="B10" s="447">
        <v>0.29166666666666669</v>
      </c>
      <c r="C10" s="445"/>
      <c r="D10" s="445"/>
      <c r="E10" s="445"/>
      <c r="F10" s="445"/>
    </row>
    <row r="11" spans="1:6" ht="15">
      <c r="A11" s="445"/>
      <c r="B11" s="447">
        <v>0.33333333333333331</v>
      </c>
      <c r="C11" s="445"/>
      <c r="D11" s="445"/>
      <c r="E11" s="445"/>
      <c r="F11" s="445"/>
    </row>
    <row r="12" spans="1:6" ht="15">
      <c r="A12" s="445"/>
      <c r="B12" s="447">
        <v>0.375</v>
      </c>
      <c r="C12" s="445"/>
      <c r="D12" s="445"/>
      <c r="E12" s="445"/>
      <c r="F12" s="445"/>
    </row>
    <row r="13" spans="1:6" ht="15">
      <c r="A13" s="445"/>
      <c r="B13" s="447">
        <v>0.41666666666666669</v>
      </c>
      <c r="C13" s="445"/>
      <c r="D13" s="445"/>
      <c r="E13" s="445"/>
      <c r="F13" s="445"/>
    </row>
    <row r="14" spans="1:6" ht="15">
      <c r="A14" s="445"/>
      <c r="B14" s="447">
        <v>0.45833333333333331</v>
      </c>
      <c r="C14" s="445"/>
      <c r="D14" s="445"/>
      <c r="E14" s="445"/>
      <c r="F14" s="445"/>
    </row>
    <row r="15" spans="1:6" ht="15">
      <c r="A15" s="445"/>
      <c r="B15" s="447">
        <v>0.5</v>
      </c>
      <c r="C15" s="445"/>
      <c r="D15" s="445"/>
      <c r="E15" s="445"/>
      <c r="F15" s="445"/>
    </row>
    <row r="16" spans="1:6" ht="15">
      <c r="A16" s="445"/>
      <c r="B16" s="447">
        <v>0.54166666666666663</v>
      </c>
      <c r="C16" s="445"/>
      <c r="D16" s="445"/>
      <c r="E16" s="445"/>
      <c r="F16" s="445"/>
    </row>
    <row r="17" spans="1:6" ht="15">
      <c r="A17" s="445"/>
      <c r="B17" s="447">
        <v>0.58333333333333337</v>
      </c>
      <c r="C17" s="445"/>
      <c r="D17" s="445"/>
      <c r="E17" s="445"/>
      <c r="F17" s="445"/>
    </row>
    <row r="18" spans="1:6" ht="15">
      <c r="A18" s="445"/>
      <c r="B18" s="447">
        <v>0.625</v>
      </c>
      <c r="C18" s="445"/>
      <c r="D18" s="445"/>
      <c r="E18" s="445"/>
      <c r="F18" s="445"/>
    </row>
    <row r="19" spans="1:6" ht="15">
      <c r="A19" s="445"/>
      <c r="B19" s="447">
        <v>0.66666666666666663</v>
      </c>
      <c r="C19" s="445"/>
      <c r="D19" s="445"/>
      <c r="E19" s="445"/>
      <c r="F19" s="445"/>
    </row>
    <row r="20" spans="1:6" ht="15">
      <c r="A20" s="445"/>
      <c r="B20" s="447">
        <v>0.70833333333333337</v>
      </c>
      <c r="C20" s="445"/>
      <c r="D20" s="445"/>
      <c r="E20" s="445"/>
      <c r="F20" s="445"/>
    </row>
    <row r="21" spans="1:6" ht="15">
      <c r="A21" s="445"/>
      <c r="B21" s="447">
        <v>0.75</v>
      </c>
      <c r="C21" s="445"/>
      <c r="D21" s="445"/>
      <c r="E21" s="445"/>
      <c r="F21" s="445"/>
    </row>
    <row r="22" spans="1:6" ht="15">
      <c r="A22" s="445"/>
      <c r="B22" s="447">
        <v>0.79166666666666663</v>
      </c>
      <c r="C22" s="445"/>
      <c r="D22" s="445"/>
      <c r="E22" s="445"/>
      <c r="F22" s="445"/>
    </row>
    <row r="23" spans="1:6" ht="15">
      <c r="A23" s="445"/>
      <c r="B23" s="447">
        <v>0.83333333333333337</v>
      </c>
      <c r="C23" s="445"/>
      <c r="D23" s="445"/>
      <c r="E23" s="445"/>
      <c r="F23" s="445"/>
    </row>
    <row r="24" spans="1:6" ht="15">
      <c r="A24" s="445"/>
      <c r="B24" s="447">
        <v>0.875</v>
      </c>
      <c r="C24" s="445"/>
      <c r="D24" s="445"/>
      <c r="E24" s="445"/>
      <c r="F24" s="445"/>
    </row>
    <row r="25" spans="1:6" ht="15">
      <c r="A25" s="445"/>
      <c r="B25" s="447">
        <v>0.91666666666666663</v>
      </c>
      <c r="C25" s="445"/>
      <c r="D25" s="445"/>
      <c r="E25" s="445"/>
      <c r="F25" s="445"/>
    </row>
    <row r="26" spans="1:6" ht="15">
      <c r="A26" s="445"/>
      <c r="B26" s="447">
        <v>0.95833333333333337</v>
      </c>
      <c r="C26" s="445"/>
      <c r="D26" s="445"/>
      <c r="E26" s="445"/>
      <c r="F26" s="445"/>
    </row>
    <row r="27" spans="1:6" ht="15.75" thickBot="1">
      <c r="A27" s="437"/>
      <c r="B27" s="438" t="s">
        <v>158</v>
      </c>
      <c r="C27" s="438"/>
      <c r="D27" s="438"/>
      <c r="E27" s="438"/>
      <c r="F27" s="438"/>
    </row>
    <row r="28" spans="1:6">
      <c r="A28" s="482" t="s">
        <v>159</v>
      </c>
      <c r="B28" s="483"/>
      <c r="C28" s="483"/>
      <c r="D28" s="483"/>
      <c r="E28" s="483"/>
      <c r="F28" s="483"/>
    </row>
    <row r="29" spans="1:6">
      <c r="A29" s="484"/>
      <c r="B29" s="485"/>
      <c r="C29" s="485"/>
      <c r="D29" s="485"/>
      <c r="E29" s="485"/>
      <c r="F29" s="485"/>
    </row>
    <row r="30" spans="1:6">
      <c r="A30" s="484"/>
      <c r="B30" s="485"/>
      <c r="C30" s="485"/>
      <c r="D30" s="485"/>
      <c r="E30" s="485"/>
      <c r="F30" s="485"/>
    </row>
    <row r="31" spans="1:6">
      <c r="A31" s="484"/>
      <c r="B31" s="485"/>
      <c r="C31" s="485"/>
      <c r="D31" s="485"/>
      <c r="E31" s="485"/>
      <c r="F31" s="485"/>
    </row>
  </sheetData>
  <mergeCells count="2">
    <mergeCell ref="A1:F2"/>
    <mergeCell ref="A28:F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pageSetUpPr fitToPage="1"/>
  </sheetPr>
  <dimension ref="A1:G54"/>
  <sheetViews>
    <sheetView showGridLines="0" topLeftCell="A11" zoomScaleNormal="100" workbookViewId="0">
      <selection activeCell="B42" sqref="B42"/>
    </sheetView>
  </sheetViews>
  <sheetFormatPr defaultColWidth="9.28515625" defaultRowHeight="12.75"/>
  <cols>
    <col min="1" max="6" width="17.42578125" customWidth="1"/>
  </cols>
  <sheetData>
    <row r="1" spans="1:6" ht="12.75" customHeight="1" thickTop="1">
      <c r="A1" s="508" t="s">
        <v>129</v>
      </c>
      <c r="B1" s="509"/>
      <c r="C1" s="509"/>
      <c r="D1" s="509"/>
      <c r="E1" s="509"/>
      <c r="F1" s="509"/>
    </row>
    <row r="2" spans="1:6" ht="13.5" customHeight="1">
      <c r="A2" s="510"/>
      <c r="B2" s="511"/>
      <c r="C2" s="511"/>
      <c r="D2" s="511"/>
      <c r="E2" s="511"/>
      <c r="F2" s="511"/>
    </row>
    <row r="3" spans="1:6" ht="13.5" customHeight="1">
      <c r="A3" s="510"/>
      <c r="B3" s="511"/>
      <c r="C3" s="511"/>
      <c r="D3" s="511"/>
      <c r="E3" s="511"/>
      <c r="F3" s="511"/>
    </row>
    <row r="4" spans="1:6" ht="13.5" customHeight="1">
      <c r="A4" s="510"/>
      <c r="B4" s="511"/>
      <c r="C4" s="511"/>
      <c r="D4" s="511"/>
      <c r="E4" s="511"/>
      <c r="F4" s="511"/>
    </row>
    <row r="5" spans="1:6" ht="12.75" customHeight="1">
      <c r="A5" s="510"/>
      <c r="B5" s="511"/>
      <c r="C5" s="511"/>
      <c r="D5" s="511"/>
      <c r="E5" s="511"/>
      <c r="F5" s="511"/>
    </row>
    <row r="6" spans="1:6" ht="12.75" customHeight="1">
      <c r="A6" s="510"/>
      <c r="B6" s="511"/>
      <c r="C6" s="511"/>
      <c r="D6" s="511"/>
      <c r="E6" s="511"/>
      <c r="F6" s="511"/>
    </row>
    <row r="7" spans="1:6" ht="12.75" customHeight="1">
      <c r="A7" s="510"/>
      <c r="B7" s="511"/>
      <c r="C7" s="511"/>
      <c r="D7" s="511"/>
      <c r="E7" s="511"/>
      <c r="F7" s="511"/>
    </row>
    <row r="8" spans="1:6" ht="13.5" customHeight="1" thickBot="1">
      <c r="A8" s="512"/>
      <c r="B8" s="513"/>
      <c r="C8" s="513"/>
      <c r="D8" s="513"/>
      <c r="E8" s="513"/>
      <c r="F8" s="513"/>
    </row>
    <row r="9" spans="1:6" ht="18" thickTop="1" thickBot="1">
      <c r="A9" s="514" t="s">
        <v>130</v>
      </c>
      <c r="B9" s="515"/>
      <c r="C9" s="258"/>
      <c r="D9" s="259" t="s">
        <v>122</v>
      </c>
      <c r="E9" s="260" t="s">
        <v>172</v>
      </c>
      <c r="F9" s="260" t="s">
        <v>50</v>
      </c>
    </row>
    <row r="10" spans="1:6" ht="18" thickTop="1" thickBot="1">
      <c r="A10" s="530"/>
      <c r="B10" s="531"/>
      <c r="C10" s="261"/>
      <c r="D10" s="325" t="s">
        <v>100</v>
      </c>
      <c r="E10" s="363"/>
      <c r="F10" s="364"/>
    </row>
    <row r="11" spans="1:6" ht="15.75" thickBot="1">
      <c r="A11" s="433" t="s">
        <v>101</v>
      </c>
      <c r="B11" s="263"/>
      <c r="C11" s="264"/>
      <c r="D11" s="326" t="s">
        <v>137</v>
      </c>
      <c r="E11" s="365"/>
      <c r="F11" s="366"/>
    </row>
    <row r="12" spans="1:6" ht="18.75" customHeight="1" thickBot="1">
      <c r="A12" s="262"/>
      <c r="B12" s="263"/>
      <c r="C12" s="264"/>
      <c r="D12" s="326" t="s">
        <v>102</v>
      </c>
      <c r="E12" s="367"/>
      <c r="F12" s="367"/>
    </row>
    <row r="13" spans="1:6" ht="15">
      <c r="A13" s="265"/>
      <c r="B13" s="263"/>
      <c r="C13" s="264"/>
      <c r="D13" s="327" t="s">
        <v>103</v>
      </c>
      <c r="E13" s="368"/>
      <c r="F13" s="369"/>
    </row>
    <row r="14" spans="1:6" ht="15">
      <c r="A14" s="262"/>
      <c r="B14" s="263"/>
      <c r="C14" s="264"/>
      <c r="D14" s="327" t="s">
        <v>104</v>
      </c>
      <c r="E14" s="370"/>
      <c r="F14" s="370"/>
    </row>
    <row r="15" spans="1:6" ht="16.5" customHeight="1" thickBot="1">
      <c r="A15" s="266"/>
      <c r="B15" s="267"/>
      <c r="C15" s="268"/>
      <c r="D15" s="328" t="s">
        <v>149</v>
      </c>
      <c r="E15" s="376"/>
      <c r="F15" s="376"/>
    </row>
    <row r="16" spans="1:6" ht="19.5" thickTop="1" thickBot="1">
      <c r="A16" s="516" t="s">
        <v>105</v>
      </c>
      <c r="B16" s="517"/>
      <c r="C16" s="517"/>
      <c r="D16" s="518"/>
      <c r="E16" s="430"/>
      <c r="F16" s="431"/>
    </row>
    <row r="17" spans="1:6" ht="14.45" customHeight="1" thickTop="1" thickBot="1">
      <c r="A17" s="519"/>
      <c r="B17" s="520"/>
      <c r="C17" s="520"/>
      <c r="D17" s="521"/>
      <c r="E17" s="361"/>
      <c r="F17" s="362"/>
    </row>
    <row r="18" spans="1:6" ht="13.5" thickBot="1">
      <c r="A18" s="522"/>
      <c r="B18" s="523"/>
      <c r="C18" s="523"/>
      <c r="D18" s="524"/>
      <c r="E18" s="355"/>
      <c r="F18" s="355"/>
    </row>
    <row r="19" spans="1:6" ht="16.5" thickTop="1">
      <c r="A19" s="499" t="s">
        <v>106</v>
      </c>
      <c r="B19" s="500"/>
      <c r="C19" s="500"/>
      <c r="D19" s="501"/>
      <c r="E19" s="356"/>
      <c r="F19" s="356"/>
    </row>
    <row r="20" spans="1:6" ht="15.75">
      <c r="A20" s="502" t="s">
        <v>107</v>
      </c>
      <c r="B20" s="503"/>
      <c r="C20" s="503"/>
      <c r="D20" s="504"/>
      <c r="E20" s="357"/>
      <c r="F20" s="357"/>
    </row>
    <row r="21" spans="1:6" ht="15">
      <c r="A21" s="505" t="s">
        <v>108</v>
      </c>
      <c r="B21" s="506"/>
      <c r="C21" s="506"/>
      <c r="D21" s="507"/>
      <c r="E21" s="358"/>
      <c r="F21" s="358"/>
    </row>
    <row r="22" spans="1:6" ht="15.75">
      <c r="A22" s="502" t="s">
        <v>109</v>
      </c>
      <c r="B22" s="503"/>
      <c r="C22" s="503"/>
      <c r="D22" s="504"/>
      <c r="E22" s="359"/>
      <c r="F22" s="359"/>
    </row>
    <row r="23" spans="1:6" ht="16.5" thickBot="1">
      <c r="A23" s="525" t="s">
        <v>110</v>
      </c>
      <c r="B23" s="526"/>
      <c r="C23" s="526"/>
      <c r="D23" s="527"/>
      <c r="E23" s="360"/>
      <c r="F23" s="360"/>
    </row>
    <row r="24" spans="1:6" ht="15.75" hidden="1" thickTop="1">
      <c r="A24" s="256"/>
      <c r="B24" s="3"/>
      <c r="C24" s="3"/>
      <c r="D24" s="3"/>
      <c r="E24" s="3"/>
      <c r="F24" s="257"/>
    </row>
    <row r="25" spans="1:6" ht="12.75" hidden="1" customHeight="1" thickBot="1">
      <c r="A25" s="412" t="s">
        <v>111</v>
      </c>
      <c r="B25" s="413"/>
      <c r="C25" s="413"/>
      <c r="D25" s="413"/>
      <c r="E25" s="413"/>
      <c r="F25" s="413"/>
    </row>
    <row r="26" spans="1:6" ht="12.75" hidden="1" customHeight="1">
      <c r="A26" s="414"/>
      <c r="B26" s="415"/>
      <c r="C26" s="415"/>
      <c r="D26" s="415"/>
      <c r="E26" s="415"/>
      <c r="F26" s="415"/>
    </row>
    <row r="27" spans="1:6" ht="13.5" hidden="1" customHeight="1">
      <c r="A27" s="416"/>
      <c r="B27" s="417"/>
      <c r="C27" s="417"/>
      <c r="D27" s="417"/>
      <c r="E27" s="417"/>
      <c r="F27" s="417"/>
    </row>
    <row r="28" spans="1:6" ht="15" hidden="1" customHeight="1">
      <c r="A28" s="528" t="s">
        <v>112</v>
      </c>
      <c r="B28" s="529"/>
      <c r="C28" s="270"/>
      <c r="D28" s="271" t="s">
        <v>113</v>
      </c>
      <c r="E28" s="272" t="s">
        <v>114</v>
      </c>
      <c r="F28" s="432" t="s">
        <v>115</v>
      </c>
    </row>
    <row r="29" spans="1:6" ht="12.75" hidden="1" customHeight="1">
      <c r="A29" s="497"/>
      <c r="B29" s="498"/>
      <c r="C29" s="273"/>
      <c r="D29" s="274"/>
      <c r="E29" s="275"/>
      <c r="F29" s="429"/>
    </row>
    <row r="30" spans="1:6" ht="12.75" hidden="1" customHeight="1">
      <c r="A30" s="497"/>
      <c r="B30" s="498"/>
      <c r="C30" s="276"/>
      <c r="D30" s="277"/>
      <c r="E30" s="278"/>
      <c r="F30" s="429"/>
    </row>
    <row r="31" spans="1:6" ht="12.75" hidden="1" customHeight="1">
      <c r="A31" s="497"/>
      <c r="B31" s="498"/>
      <c r="C31" s="273"/>
      <c r="D31" s="274"/>
      <c r="E31" s="275"/>
      <c r="F31" s="429"/>
    </row>
    <row r="32" spans="1:6" ht="12.75" hidden="1" customHeight="1">
      <c r="A32" s="497"/>
      <c r="B32" s="498"/>
      <c r="C32" s="276"/>
      <c r="D32" s="277"/>
      <c r="E32" s="278"/>
      <c r="F32" s="429"/>
    </row>
    <row r="33" spans="1:7" ht="12.75" hidden="1" customHeight="1">
      <c r="A33" s="497"/>
      <c r="B33" s="498"/>
      <c r="C33" s="276"/>
      <c r="D33" s="279"/>
      <c r="E33" s="280"/>
      <c r="F33" s="429"/>
    </row>
    <row r="34" spans="1:7" ht="12.75" hidden="1" customHeight="1">
      <c r="A34" s="497"/>
      <c r="B34" s="498"/>
      <c r="C34" s="276"/>
      <c r="D34" s="279"/>
      <c r="E34" s="280"/>
      <c r="F34" s="429"/>
    </row>
    <row r="35" spans="1:7" ht="13.5" hidden="1" customHeight="1">
      <c r="A35" s="486"/>
      <c r="B35" s="487"/>
      <c r="C35" s="281"/>
      <c r="D35" s="282"/>
      <c r="E35" s="283"/>
      <c r="F35" s="418"/>
    </row>
    <row r="36" spans="1:7" ht="17.25" thickTop="1" thickBot="1">
      <c r="A36" s="494" t="s">
        <v>150</v>
      </c>
      <c r="B36" s="495"/>
      <c r="C36" s="495"/>
      <c r="D36" s="496"/>
      <c r="E36" s="360"/>
      <c r="F36" s="360"/>
    </row>
    <row r="37" spans="1:7" ht="14.25" thickTop="1" thickBot="1">
      <c r="A37" s="284"/>
      <c r="B37" s="284"/>
      <c r="C37" s="284"/>
      <c r="D37" s="284"/>
      <c r="E37" s="284"/>
      <c r="F37" s="284"/>
    </row>
    <row r="38" spans="1:7" ht="18.75" thickBot="1">
      <c r="A38" s="427" t="s">
        <v>116</v>
      </c>
      <c r="B38" s="428"/>
      <c r="C38" s="428"/>
      <c r="D38" s="428"/>
      <c r="E38" s="428"/>
      <c r="F38" s="428"/>
    </row>
    <row r="39" spans="1:7" ht="14.25" thickTop="1" thickBot="1">
      <c r="A39" s="285" t="s">
        <v>118</v>
      </c>
      <c r="B39" s="285" t="s">
        <v>119</v>
      </c>
      <c r="C39" s="285" t="s">
        <v>146</v>
      </c>
      <c r="D39" s="285" t="s">
        <v>147</v>
      </c>
      <c r="E39" s="285" t="s">
        <v>120</v>
      </c>
      <c r="F39" s="285" t="s">
        <v>121</v>
      </c>
      <c r="G39" s="285" t="s">
        <v>117</v>
      </c>
    </row>
    <row r="40" spans="1:7" ht="14.25" thickTop="1" thickBot="1">
      <c r="A40" s="441"/>
      <c r="B40" s="441"/>
      <c r="C40" s="441"/>
      <c r="D40" s="441"/>
      <c r="E40" s="441"/>
      <c r="F40" s="441"/>
      <c r="G40" s="441"/>
    </row>
    <row r="41" spans="1:7" ht="13.5" thickTop="1">
      <c r="A41" s="286"/>
      <c r="B41" s="286" t="s">
        <v>199</v>
      </c>
      <c r="C41" s="286"/>
      <c r="D41" s="286"/>
      <c r="E41" s="286"/>
      <c r="G41" s="286"/>
    </row>
    <row r="42" spans="1:7" ht="13.5" thickBot="1">
      <c r="A42" s="287"/>
      <c r="B42" s="287" t="s">
        <v>214</v>
      </c>
      <c r="C42" s="287"/>
      <c r="D42" s="287"/>
      <c r="E42" s="287"/>
      <c r="F42" s="287"/>
      <c r="G42" s="287"/>
    </row>
    <row r="43" spans="1:7" ht="14.25" thickTop="1" thickBot="1">
      <c r="A43" s="442"/>
      <c r="B43" s="442"/>
      <c r="C43" s="442"/>
      <c r="D43" s="442"/>
      <c r="E43" s="442"/>
      <c r="F43" s="442"/>
      <c r="G43" s="442"/>
    </row>
    <row r="44" spans="1:7" ht="14.25" thickTop="1" thickBot="1">
      <c r="A44" s="443"/>
      <c r="B44" s="444"/>
      <c r="C44" s="444"/>
      <c r="D44" s="444"/>
      <c r="E44" s="444"/>
      <c r="F44" s="444"/>
      <c r="G44" s="444"/>
    </row>
    <row r="45" spans="1:7" ht="14.25" customHeight="1" thickTop="1" thickBot="1">
      <c r="A45" s="490"/>
      <c r="B45" s="491"/>
      <c r="C45" s="419"/>
      <c r="D45" s="420"/>
      <c r="E45" s="420"/>
      <c r="F45" s="420"/>
      <c r="G45" s="420"/>
    </row>
    <row r="46" spans="1:7" ht="14.25" customHeight="1" thickTop="1" thickBot="1">
      <c r="A46" s="490"/>
      <c r="B46" s="491"/>
      <c r="C46" s="421"/>
      <c r="D46" s="422"/>
      <c r="E46" s="422"/>
      <c r="F46" s="422"/>
      <c r="G46" s="422"/>
    </row>
    <row r="47" spans="1:7" ht="14.25" customHeight="1" thickTop="1" thickBot="1">
      <c r="A47" s="492"/>
      <c r="B47" s="493"/>
      <c r="C47" s="421"/>
      <c r="D47" s="422"/>
      <c r="E47" s="422"/>
      <c r="F47" s="422"/>
      <c r="G47" s="422"/>
    </row>
    <row r="48" spans="1:7" ht="14.25" customHeight="1" thickTop="1" thickBot="1">
      <c r="A48" s="490"/>
      <c r="B48" s="491"/>
      <c r="C48" s="421"/>
      <c r="D48" s="422"/>
      <c r="E48" s="422"/>
      <c r="F48" s="422"/>
      <c r="G48" s="422"/>
    </row>
    <row r="49" spans="1:7" ht="14.25" customHeight="1" thickTop="1" thickBot="1">
      <c r="A49" s="492"/>
      <c r="B49" s="493"/>
      <c r="C49" s="421"/>
      <c r="D49" s="422"/>
      <c r="E49" s="422"/>
      <c r="F49" s="422"/>
      <c r="G49" s="422"/>
    </row>
    <row r="50" spans="1:7" ht="14.45" customHeight="1" thickTop="1" thickBot="1">
      <c r="A50" s="488"/>
      <c r="B50" s="489"/>
      <c r="C50" s="421"/>
      <c r="D50" s="422"/>
      <c r="E50" s="422"/>
      <c r="F50" s="422"/>
      <c r="G50" s="422"/>
    </row>
    <row r="51" spans="1:7" ht="14.45" customHeight="1" thickTop="1" thickBot="1">
      <c r="A51" s="488"/>
      <c r="B51" s="489"/>
      <c r="C51" s="423"/>
      <c r="D51" s="424"/>
      <c r="E51" s="424"/>
      <c r="F51" s="424"/>
      <c r="G51" s="424"/>
    </row>
    <row r="52" spans="1:7" ht="19.5" thickTop="1" thickBot="1">
      <c r="A52" s="425"/>
      <c r="B52" s="426"/>
      <c r="C52" s="426"/>
      <c r="D52" s="426"/>
      <c r="E52" s="426"/>
      <c r="F52" s="426"/>
      <c r="G52" s="426"/>
    </row>
    <row r="53" spans="1:7" ht="12.75" customHeight="1">
      <c r="A53" s="412"/>
      <c r="B53" s="413"/>
      <c r="C53" s="413"/>
      <c r="D53" s="413"/>
      <c r="E53" s="413"/>
      <c r="F53" s="413"/>
    </row>
    <row r="54" spans="1:7" ht="12.75" customHeight="1">
      <c r="A54" s="414"/>
      <c r="B54" s="415"/>
      <c r="C54" s="415"/>
      <c r="D54" s="415"/>
      <c r="E54" s="415"/>
      <c r="F54" s="415"/>
    </row>
  </sheetData>
  <mergeCells count="25">
    <mergeCell ref="A1:F8"/>
    <mergeCell ref="A31:B31"/>
    <mergeCell ref="A32:B32"/>
    <mergeCell ref="A9:B9"/>
    <mergeCell ref="A16:D18"/>
    <mergeCell ref="A22:D22"/>
    <mergeCell ref="A23:D23"/>
    <mergeCell ref="A28:B28"/>
    <mergeCell ref="A29:B29"/>
    <mergeCell ref="A10:B10"/>
    <mergeCell ref="A34:B34"/>
    <mergeCell ref="A33:B33"/>
    <mergeCell ref="A30:B30"/>
    <mergeCell ref="A19:D19"/>
    <mergeCell ref="A20:D20"/>
    <mergeCell ref="A21:D21"/>
    <mergeCell ref="A35:B35"/>
    <mergeCell ref="A51:B51"/>
    <mergeCell ref="A46:B46"/>
    <mergeCell ref="A47:B47"/>
    <mergeCell ref="A48:B48"/>
    <mergeCell ref="A49:B49"/>
    <mergeCell ref="A50:B50"/>
    <mergeCell ref="A45:B45"/>
    <mergeCell ref="A36:D36"/>
  </mergeCells>
  <pageMargins left="0.7" right="0.7" top="0.75" bottom="0.75" header="0.3" footer="0.3"/>
  <pageSetup scale="6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pageSetUpPr fitToPage="1"/>
  </sheetPr>
  <dimension ref="A1:J27"/>
  <sheetViews>
    <sheetView showGridLines="0" tabSelected="1" topLeftCell="A11" zoomScale="50" zoomScaleNormal="50" zoomScaleSheetLayoutView="30" workbookViewId="0">
      <selection activeCell="A14" sqref="A14"/>
    </sheetView>
  </sheetViews>
  <sheetFormatPr defaultColWidth="8.85546875" defaultRowHeight="38.25" customHeight="1"/>
  <cols>
    <col min="1" max="1" width="22.7109375" style="269" customWidth="1"/>
    <col min="2" max="2" width="24.140625" style="269" customWidth="1"/>
    <col min="3" max="3" width="23.140625" style="269" customWidth="1"/>
    <col min="4" max="4" width="73.85546875" style="269" customWidth="1"/>
    <col min="5" max="5" width="25.28515625" style="269" customWidth="1"/>
    <col min="6" max="6" width="23.7109375" style="269" customWidth="1"/>
    <col min="7" max="7" width="70.5703125" style="269" customWidth="1"/>
    <col min="8" max="8" width="25.7109375" style="269" customWidth="1"/>
    <col min="9" max="9" width="22.5703125" style="269" customWidth="1"/>
    <col min="10" max="10" width="27" style="269" customWidth="1"/>
    <col min="11" max="11" width="8.85546875" style="269"/>
    <col min="12" max="12" width="35.42578125" style="269" customWidth="1"/>
    <col min="13" max="13" width="25.28515625" style="269" customWidth="1"/>
    <col min="14" max="16384" width="8.85546875" style="269"/>
  </cols>
  <sheetData>
    <row r="1" spans="1:10" s="324" customFormat="1" ht="19.5" customHeight="1">
      <c r="A1" s="532" t="s">
        <v>69</v>
      </c>
      <c r="B1" s="532"/>
      <c r="C1" s="532"/>
      <c r="D1" s="532"/>
      <c r="E1" s="532"/>
      <c r="F1" s="532"/>
      <c r="G1" s="532"/>
      <c r="H1" s="532"/>
      <c r="I1" s="532"/>
      <c r="J1" s="532"/>
    </row>
    <row r="2" spans="1:10" s="324" customFormat="1" ht="19.5" customHeight="1">
      <c r="A2" s="532"/>
      <c r="B2" s="532"/>
      <c r="C2" s="532"/>
      <c r="D2" s="532"/>
      <c r="E2" s="532"/>
      <c r="F2" s="532"/>
      <c r="G2" s="532"/>
      <c r="H2" s="532"/>
      <c r="I2" s="532"/>
      <c r="J2" s="532"/>
    </row>
    <row r="3" spans="1:10" s="324" customFormat="1" ht="29.25" customHeight="1">
      <c r="A3" s="533" t="s">
        <v>70</v>
      </c>
      <c r="B3" s="533"/>
      <c r="C3" s="533"/>
      <c r="D3" s="533"/>
      <c r="E3" s="534"/>
      <c r="F3" s="534"/>
      <c r="G3" s="534"/>
      <c r="H3" s="534"/>
      <c r="I3" s="534"/>
      <c r="J3" s="534"/>
    </row>
    <row r="4" spans="1:10" s="324" customFormat="1" ht="36" customHeight="1">
      <c r="A4" s="538" t="s">
        <v>71</v>
      </c>
      <c r="B4" s="538"/>
      <c r="C4" s="538"/>
      <c r="D4" s="538"/>
      <c r="E4" s="535"/>
      <c r="F4" s="535"/>
      <c r="G4" s="535"/>
      <c r="H4" s="535"/>
      <c r="I4" s="535"/>
      <c r="J4" s="535"/>
    </row>
    <row r="5" spans="1:10" s="324" customFormat="1" ht="36" customHeight="1" thickBot="1">
      <c r="A5" s="536" t="s">
        <v>204</v>
      </c>
      <c r="B5" s="536"/>
      <c r="C5" s="536"/>
      <c r="D5" s="536"/>
      <c r="E5" s="536"/>
      <c r="F5" s="536"/>
      <c r="G5" s="536"/>
      <c r="H5" s="537"/>
      <c r="I5" s="536"/>
      <c r="J5" s="536"/>
    </row>
    <row r="6" spans="1:10" ht="125.25" customHeight="1" thickBot="1">
      <c r="A6" s="377" t="s">
        <v>38</v>
      </c>
      <c r="B6" s="378" t="s">
        <v>123</v>
      </c>
      <c r="C6" s="377" t="s">
        <v>141</v>
      </c>
      <c r="D6" s="377" t="s">
        <v>40</v>
      </c>
      <c r="E6" s="377" t="s">
        <v>127</v>
      </c>
      <c r="F6" s="377" t="s">
        <v>124</v>
      </c>
      <c r="G6" s="379" t="s">
        <v>125</v>
      </c>
      <c r="H6" s="400" t="s">
        <v>126</v>
      </c>
      <c r="I6" s="378" t="s">
        <v>39</v>
      </c>
      <c r="J6" s="379" t="s">
        <v>142</v>
      </c>
    </row>
    <row r="7" spans="1:10" s="354" customFormat="1" ht="239.1" customHeight="1">
      <c r="A7" s="406"/>
      <c r="B7" s="407"/>
      <c r="C7" s="408"/>
      <c r="D7" s="408" t="s">
        <v>205</v>
      </c>
      <c r="E7" s="408"/>
      <c r="F7" s="407"/>
      <c r="G7" s="408"/>
      <c r="H7" s="409"/>
      <c r="I7" s="410"/>
      <c r="J7" s="411"/>
    </row>
    <row r="8" spans="1:10" s="354" customFormat="1" ht="194.25" customHeight="1">
      <c r="A8" s="382" t="s">
        <v>191</v>
      </c>
      <c r="B8" s="383" t="s">
        <v>192</v>
      </c>
      <c r="C8" s="384" t="s">
        <v>194</v>
      </c>
      <c r="D8" s="385" t="s">
        <v>190</v>
      </c>
      <c r="E8" s="386" t="s">
        <v>193</v>
      </c>
      <c r="F8" s="383" t="s">
        <v>195</v>
      </c>
      <c r="G8" s="384" t="s">
        <v>196</v>
      </c>
      <c r="H8" s="401" t="s">
        <v>197</v>
      </c>
      <c r="I8" s="396" t="s">
        <v>198</v>
      </c>
      <c r="J8" s="387" t="s">
        <v>199</v>
      </c>
    </row>
    <row r="9" spans="1:10" ht="194.25" customHeight="1">
      <c r="A9" s="388" t="s">
        <v>191</v>
      </c>
      <c r="B9" s="380" t="s">
        <v>200</v>
      </c>
      <c r="C9" s="381" t="s">
        <v>194</v>
      </c>
      <c r="D9" s="381" t="s">
        <v>201</v>
      </c>
      <c r="E9" s="381" t="s">
        <v>193</v>
      </c>
      <c r="F9" s="380" t="s">
        <v>202</v>
      </c>
      <c r="G9" s="464" t="s">
        <v>203</v>
      </c>
      <c r="H9" s="389" t="s">
        <v>197</v>
      </c>
      <c r="I9" s="397" t="s">
        <v>198</v>
      </c>
      <c r="J9" s="390" t="s">
        <v>199</v>
      </c>
    </row>
    <row r="10" spans="1:10" ht="240.6" customHeight="1">
      <c r="A10" s="391">
        <v>3101</v>
      </c>
      <c r="B10" s="392" t="s">
        <v>210</v>
      </c>
      <c r="C10" s="393" t="s">
        <v>206</v>
      </c>
      <c r="D10" s="393" t="s">
        <v>207</v>
      </c>
      <c r="E10" s="393" t="s">
        <v>208</v>
      </c>
      <c r="F10" s="392" t="s">
        <v>209</v>
      </c>
      <c r="G10" s="393" t="s">
        <v>215</v>
      </c>
      <c r="H10" s="402" t="s">
        <v>197</v>
      </c>
      <c r="I10" s="398" t="s">
        <v>198</v>
      </c>
      <c r="J10" s="394" t="s">
        <v>199</v>
      </c>
    </row>
    <row r="11" spans="1:10" ht="194.25" customHeight="1">
      <c r="A11" s="388" t="s">
        <v>216</v>
      </c>
      <c r="B11" s="380" t="s">
        <v>217</v>
      </c>
      <c r="C11" s="381"/>
      <c r="D11" s="381" t="s">
        <v>218</v>
      </c>
      <c r="E11" s="381" t="s">
        <v>208</v>
      </c>
      <c r="F11" s="380" t="s">
        <v>222</v>
      </c>
      <c r="G11" s="381" t="s">
        <v>219</v>
      </c>
      <c r="H11" s="389" t="s">
        <v>220</v>
      </c>
      <c r="I11" s="397" t="s">
        <v>221</v>
      </c>
      <c r="J11" s="390" t="s">
        <v>221</v>
      </c>
    </row>
    <row r="12" spans="1:10" ht="194.25" customHeight="1">
      <c r="A12" s="391">
        <v>2309</v>
      </c>
      <c r="B12" s="392" t="s">
        <v>239</v>
      </c>
      <c r="C12" s="393" t="s">
        <v>240</v>
      </c>
      <c r="D12" s="393" t="s">
        <v>241</v>
      </c>
      <c r="E12" s="393" t="s">
        <v>221</v>
      </c>
      <c r="F12" s="392" t="s">
        <v>242</v>
      </c>
      <c r="G12" s="393" t="s">
        <v>243</v>
      </c>
      <c r="H12" s="402" t="s">
        <v>220</v>
      </c>
      <c r="I12" s="398" t="s">
        <v>221</v>
      </c>
      <c r="J12" s="394" t="s">
        <v>220</v>
      </c>
    </row>
    <row r="13" spans="1:10" ht="408.75" customHeight="1">
      <c r="A13" s="388">
        <v>1204</v>
      </c>
      <c r="B13" s="380" t="s">
        <v>247</v>
      </c>
      <c r="C13" s="381" t="s">
        <v>245</v>
      </c>
      <c r="D13" s="381" t="s">
        <v>248</v>
      </c>
      <c r="E13" s="381" t="s">
        <v>246</v>
      </c>
      <c r="F13" s="380" t="s">
        <v>244</v>
      </c>
      <c r="G13" s="381" t="s">
        <v>249</v>
      </c>
      <c r="H13" s="389" t="s">
        <v>220</v>
      </c>
      <c r="I13" s="397" t="s">
        <v>250</v>
      </c>
      <c r="J13" s="390"/>
    </row>
    <row r="14" spans="1:10" ht="194.25" customHeight="1">
      <c r="A14" s="391" t="s">
        <v>325</v>
      </c>
      <c r="B14" s="392" t="s">
        <v>326</v>
      </c>
      <c r="C14" s="381" t="s">
        <v>327</v>
      </c>
      <c r="D14" s="393" t="s">
        <v>328</v>
      </c>
      <c r="E14" s="393" t="s">
        <v>330</v>
      </c>
      <c r="F14" s="392" t="s">
        <v>331</v>
      </c>
      <c r="G14" s="393" t="s">
        <v>329</v>
      </c>
      <c r="H14" s="402" t="s">
        <v>325</v>
      </c>
      <c r="I14" s="398" t="s">
        <v>214</v>
      </c>
      <c r="J14" s="394"/>
    </row>
    <row r="15" spans="1:10" ht="194.25" customHeight="1">
      <c r="A15" s="388"/>
      <c r="B15" s="380"/>
      <c r="C15" s="381"/>
      <c r="D15" s="381"/>
      <c r="E15" s="381"/>
      <c r="F15" s="380"/>
      <c r="G15" s="381"/>
      <c r="H15" s="389"/>
      <c r="I15" s="397"/>
      <c r="J15" s="390"/>
    </row>
    <row r="16" spans="1:10" ht="194.25" customHeight="1">
      <c r="A16" s="391"/>
      <c r="B16" s="392"/>
      <c r="C16" s="393"/>
      <c r="D16" s="393"/>
      <c r="E16" s="393"/>
      <c r="F16" s="392"/>
      <c r="G16" s="393"/>
      <c r="H16" s="402"/>
      <c r="I16" s="398"/>
      <c r="J16" s="394"/>
    </row>
    <row r="17" spans="1:10" ht="194.25" customHeight="1">
      <c r="A17" s="388"/>
      <c r="B17" s="380"/>
      <c r="C17" s="381"/>
      <c r="D17" s="381"/>
      <c r="E17" s="381"/>
      <c r="F17" s="380"/>
      <c r="G17" s="381"/>
      <c r="H17" s="389"/>
      <c r="I17" s="397"/>
      <c r="J17" s="390"/>
    </row>
    <row r="18" spans="1:10" ht="194.25" customHeight="1">
      <c r="A18" s="395"/>
      <c r="B18" s="439"/>
      <c r="C18" s="440"/>
      <c r="D18" s="440"/>
      <c r="E18" s="395"/>
      <c r="F18" s="439"/>
      <c r="G18" s="394"/>
      <c r="H18" s="395"/>
      <c r="I18" s="399"/>
      <c r="J18" s="395"/>
    </row>
    <row r="19" spans="1:10" ht="194.25" customHeight="1">
      <c r="A19" s="388"/>
      <c r="B19" s="380"/>
      <c r="C19" s="381"/>
      <c r="D19" s="381"/>
      <c r="E19" s="381"/>
      <c r="F19" s="380"/>
      <c r="G19" s="381"/>
      <c r="H19" s="403"/>
      <c r="I19" s="397"/>
      <c r="J19" s="390"/>
    </row>
    <row r="20" spans="1:10" ht="194.25" customHeight="1">
      <c r="A20" s="391"/>
      <c r="B20" s="392"/>
      <c r="C20" s="393"/>
      <c r="D20" s="393"/>
      <c r="E20" s="393"/>
      <c r="F20" s="392"/>
      <c r="G20" s="393"/>
      <c r="H20" s="404"/>
      <c r="I20" s="398"/>
      <c r="J20" s="394"/>
    </row>
    <row r="21" spans="1:10" ht="194.25" customHeight="1">
      <c r="A21" s="388"/>
      <c r="B21" s="380"/>
      <c r="C21" s="381"/>
      <c r="D21" s="381"/>
      <c r="E21" s="381"/>
      <c r="F21" s="380"/>
      <c r="G21" s="381"/>
      <c r="H21" s="403"/>
      <c r="I21" s="397"/>
      <c r="J21" s="390"/>
    </row>
    <row r="22" spans="1:10" ht="194.25" customHeight="1">
      <c r="A22" s="391"/>
      <c r="B22" s="392"/>
      <c r="C22" s="393"/>
      <c r="D22" s="393"/>
      <c r="E22" s="393"/>
      <c r="F22" s="392"/>
      <c r="G22" s="393"/>
      <c r="H22" s="405"/>
      <c r="I22" s="398"/>
      <c r="J22" s="394"/>
    </row>
    <row r="23" spans="1:10" ht="194.25" customHeight="1"/>
    <row r="24" spans="1:10" ht="194.25" customHeight="1"/>
    <row r="25" spans="1:10" ht="194.25" customHeight="1"/>
    <row r="26" spans="1:10" ht="200.1" customHeight="1"/>
    <row r="27" spans="1:10" ht="200.1" customHeight="1"/>
  </sheetData>
  <mergeCells count="6">
    <mergeCell ref="A1:J2"/>
    <mergeCell ref="A3:D3"/>
    <mergeCell ref="E3:J3"/>
    <mergeCell ref="E4:J4"/>
    <mergeCell ref="A5:J5"/>
    <mergeCell ref="A4:D4"/>
  </mergeCells>
  <printOptions horizontalCentered="1" verticalCentered="1"/>
  <pageMargins left="0.42" right="0.28000000000000003" top="0.3" bottom="0.3" header="0.3" footer="0.3"/>
  <pageSetup scale="30" orientation="landscape" r:id="rId1"/>
  <rowBreaks count="1" manualBreakCount="1">
    <brk id="7" max="10" man="1"/>
  </rowBreaks>
  <colBreaks count="2" manualBreakCount="2">
    <brk id="3" max="12" man="1"/>
    <brk id="11" max="19" man="1"/>
  </colBreaks>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249977111117893"/>
  </sheetPr>
  <dimension ref="A1:L63"/>
  <sheetViews>
    <sheetView showGridLines="0" zoomScale="70" zoomScaleNormal="70" zoomScaleSheetLayoutView="70" workbookViewId="0">
      <selection activeCell="A29" sqref="A29"/>
    </sheetView>
  </sheetViews>
  <sheetFormatPr defaultColWidth="8.85546875" defaultRowHeight="12.75"/>
  <cols>
    <col min="1" max="1" width="35.28515625" bestFit="1" customWidth="1"/>
    <col min="2" max="2" width="16.7109375" customWidth="1"/>
    <col min="3" max="3" width="13.7109375" customWidth="1"/>
    <col min="4" max="4" width="30.42578125" customWidth="1"/>
    <col min="5" max="5" width="14.42578125" customWidth="1"/>
    <col min="6" max="6" width="13.7109375" customWidth="1"/>
    <col min="7" max="7" width="30.42578125" customWidth="1"/>
    <col min="8" max="8" width="26.42578125" customWidth="1"/>
    <col min="9" max="9" width="24" customWidth="1"/>
    <col min="10" max="10" width="22.28515625" customWidth="1"/>
  </cols>
  <sheetData>
    <row r="1" spans="1:11" ht="30.75" customHeight="1">
      <c r="A1" s="545">
        <v>41784</v>
      </c>
      <c r="B1" s="545"/>
      <c r="C1" s="545"/>
      <c r="D1" s="545"/>
      <c r="E1" s="545"/>
      <c r="F1" s="545"/>
      <c r="G1" s="546"/>
      <c r="H1" s="546"/>
    </row>
    <row r="2" spans="1:11" ht="16.5" thickBot="1">
      <c r="D2" s="64"/>
      <c r="E2" s="65"/>
      <c r="G2" s="3"/>
      <c r="H2" s="63"/>
      <c r="I2" s="3"/>
      <c r="K2" s="3"/>
    </row>
    <row r="3" spans="1:11" ht="21.75" thickTop="1" thickBot="1">
      <c r="A3" s="541" t="s">
        <v>0</v>
      </c>
      <c r="B3" s="542"/>
      <c r="C3" s="543"/>
      <c r="D3" s="547" t="s">
        <v>49</v>
      </c>
      <c r="E3" s="548"/>
      <c r="F3" s="549"/>
      <c r="G3" s="145" t="s">
        <v>73</v>
      </c>
      <c r="H3" s="145" t="s">
        <v>74</v>
      </c>
      <c r="I3" s="145" t="s">
        <v>59</v>
      </c>
      <c r="J3" s="3"/>
      <c r="K3" s="3"/>
    </row>
    <row r="4" spans="1:11" ht="24" thickTop="1" thickBot="1">
      <c r="A4" s="166" t="s">
        <v>1</v>
      </c>
      <c r="B4" s="205">
        <v>242</v>
      </c>
      <c r="C4" s="66"/>
      <c r="D4" s="86"/>
      <c r="E4" s="87" t="s">
        <v>50</v>
      </c>
      <c r="F4" s="88" t="s">
        <v>51</v>
      </c>
      <c r="G4" s="228">
        <v>0</v>
      </c>
      <c r="H4" s="229">
        <v>0</v>
      </c>
      <c r="I4" s="162">
        <f>SUM(G4-H4)</f>
        <v>0</v>
      </c>
      <c r="J4" s="135"/>
      <c r="K4" s="3"/>
    </row>
    <row r="5" spans="1:11" ht="21" customHeight="1" thickBot="1">
      <c r="A5" s="167" t="s">
        <v>2</v>
      </c>
      <c r="B5" s="206">
        <f>242-(B6+B7+B8)</f>
        <v>93</v>
      </c>
      <c r="C5" s="70"/>
      <c r="D5" s="85" t="s">
        <v>96</v>
      </c>
      <c r="E5" s="223">
        <v>0</v>
      </c>
      <c r="F5" s="223">
        <v>0</v>
      </c>
      <c r="G5" s="230">
        <v>0</v>
      </c>
      <c r="H5" s="231">
        <v>0</v>
      </c>
      <c r="I5" s="163">
        <f>SUM(G5-H5)</f>
        <v>0</v>
      </c>
      <c r="J5" s="135"/>
      <c r="K5" s="135"/>
    </row>
    <row r="6" spans="1:11" ht="18.75" thickTop="1">
      <c r="A6" s="168" t="s">
        <v>3</v>
      </c>
      <c r="B6" s="216">
        <v>142</v>
      </c>
      <c r="C6" s="70"/>
      <c r="D6" s="73" t="s">
        <v>52</v>
      </c>
      <c r="E6" s="224">
        <v>0</v>
      </c>
      <c r="F6" s="224">
        <v>0</v>
      </c>
      <c r="G6" s="136"/>
      <c r="H6" s="136"/>
      <c r="I6" s="136"/>
      <c r="J6" s="135"/>
      <c r="K6" s="3"/>
    </row>
    <row r="7" spans="1:11" ht="18">
      <c r="A7" s="168" t="s">
        <v>60</v>
      </c>
      <c r="B7" s="216">
        <v>2</v>
      </c>
      <c r="C7" s="66"/>
      <c r="D7" s="73" t="s">
        <v>17</v>
      </c>
      <c r="E7" s="225">
        <v>0</v>
      </c>
      <c r="F7" s="225">
        <v>0</v>
      </c>
      <c r="G7" s="3"/>
      <c r="H7" s="3"/>
      <c r="I7" s="3"/>
      <c r="J7" s="61" t="s">
        <v>35</v>
      </c>
      <c r="K7" s="3"/>
    </row>
    <row r="8" spans="1:11" ht="18">
      <c r="A8" s="168" t="s">
        <v>4</v>
      </c>
      <c r="B8" s="216">
        <v>5</v>
      </c>
      <c r="C8" s="66"/>
      <c r="D8" s="73" t="s">
        <v>53</v>
      </c>
      <c r="E8" s="225">
        <v>0</v>
      </c>
      <c r="F8" s="225">
        <v>0</v>
      </c>
      <c r="G8" s="72"/>
      <c r="H8" s="72"/>
      <c r="I8" s="3"/>
      <c r="J8" s="3"/>
      <c r="K8" s="3"/>
    </row>
    <row r="9" spans="1:11" ht="23.25" thickBot="1">
      <c r="A9" s="169" t="s">
        <v>5</v>
      </c>
      <c r="B9" s="207">
        <f>SUM(B5+B7+B8)-B8</f>
        <v>95</v>
      </c>
      <c r="C9" s="66"/>
      <c r="D9" s="73" t="s">
        <v>54</v>
      </c>
      <c r="E9" s="117">
        <v>0</v>
      </c>
      <c r="F9" s="117">
        <v>0</v>
      </c>
      <c r="G9" s="72"/>
      <c r="H9" s="72"/>
      <c r="I9" s="3"/>
    </row>
    <row r="10" spans="1:11" ht="23.25" thickBot="1">
      <c r="A10" s="169" t="s">
        <v>42</v>
      </c>
      <c r="B10" s="208">
        <f>(B5+B7+B8-B8)/242</f>
        <v>0.3925619834710744</v>
      </c>
      <c r="C10" s="119"/>
      <c r="D10" s="89" t="s">
        <v>55</v>
      </c>
      <c r="E10" s="118">
        <v>0</v>
      </c>
      <c r="F10" s="118">
        <v>0</v>
      </c>
      <c r="G10" s="555" t="s">
        <v>86</v>
      </c>
      <c r="H10" s="556"/>
      <c r="I10" s="557"/>
    </row>
    <row r="11" spans="1:11" ht="19.5" thickTop="1">
      <c r="A11" s="170" t="s">
        <v>6</v>
      </c>
      <c r="B11" s="217">
        <v>0</v>
      </c>
      <c r="C11" s="66"/>
      <c r="D11" s="90"/>
      <c r="E11" s="91"/>
      <c r="F11" s="92"/>
      <c r="G11" s="140"/>
      <c r="H11" s="142"/>
      <c r="I11" s="141"/>
    </row>
    <row r="12" spans="1:11" ht="18.75" thickBot="1">
      <c r="A12" s="171"/>
      <c r="B12" s="67"/>
      <c r="C12" s="68"/>
      <c r="D12" s="93" t="s">
        <v>56</v>
      </c>
      <c r="E12" s="94" t="s">
        <v>50</v>
      </c>
      <c r="F12" s="95" t="s">
        <v>51</v>
      </c>
      <c r="G12" s="558"/>
      <c r="H12" s="559"/>
      <c r="I12" s="560"/>
    </row>
    <row r="13" spans="1:11" ht="18.75" thickBot="1">
      <c r="A13" s="550" t="s">
        <v>8</v>
      </c>
      <c r="B13" s="551"/>
      <c r="C13" s="66"/>
      <c r="D13" s="96" t="s">
        <v>57</v>
      </c>
      <c r="E13" s="226">
        <v>0</v>
      </c>
      <c r="F13" s="226">
        <v>0</v>
      </c>
      <c r="G13" s="558"/>
      <c r="H13" s="559"/>
      <c r="I13" s="560"/>
    </row>
    <row r="14" spans="1:11" ht="19.5" thickTop="1" thickBot="1">
      <c r="A14" s="172" t="s">
        <v>9</v>
      </c>
      <c r="B14" s="218">
        <v>25</v>
      </c>
      <c r="C14" s="66"/>
      <c r="D14" s="89" t="s">
        <v>58</v>
      </c>
      <c r="E14" s="227">
        <v>0</v>
      </c>
      <c r="F14" s="227">
        <v>0</v>
      </c>
      <c r="G14" s="558"/>
      <c r="H14" s="559"/>
      <c r="I14" s="560"/>
    </row>
    <row r="15" spans="1:11" ht="18.75" thickTop="1">
      <c r="A15" s="171" t="s">
        <v>10</v>
      </c>
      <c r="B15" s="219">
        <v>0</v>
      </c>
      <c r="C15" s="66"/>
      <c r="D15" s="97"/>
      <c r="E15" s="66"/>
      <c r="F15" s="134"/>
      <c r="G15" s="558"/>
      <c r="H15" s="559"/>
      <c r="I15" s="560"/>
    </row>
    <row r="16" spans="1:11" ht="22.5">
      <c r="A16" s="173" t="s">
        <v>11</v>
      </c>
      <c r="B16" s="207">
        <f>SUM(B14:B15)-B17</f>
        <v>25</v>
      </c>
      <c r="C16" s="66"/>
      <c r="D16" s="552" t="s">
        <v>68</v>
      </c>
      <c r="E16" s="553"/>
      <c r="F16" s="554"/>
      <c r="G16" s="558"/>
      <c r="H16" s="559"/>
      <c r="I16" s="560"/>
    </row>
    <row r="17" spans="1:12" ht="18.75" thickBot="1">
      <c r="A17" s="171" t="s">
        <v>72</v>
      </c>
      <c r="B17" s="220">
        <v>0</v>
      </c>
      <c r="C17" s="71">
        <f>SUM(B17/B16)</f>
        <v>0</v>
      </c>
      <c r="D17" s="113" t="s">
        <v>62</v>
      </c>
      <c r="E17" s="211">
        <f>Groups!P22</f>
        <v>0</v>
      </c>
      <c r="F17" s="137"/>
      <c r="G17" s="99"/>
      <c r="H17" s="131"/>
      <c r="I17" s="69"/>
    </row>
    <row r="18" spans="1:12" ht="18">
      <c r="A18" s="171" t="s">
        <v>12</v>
      </c>
      <c r="B18" s="220">
        <v>0</v>
      </c>
      <c r="C18" s="71">
        <f>SUM(B18/B16)</f>
        <v>0</v>
      </c>
      <c r="D18" s="114" t="s">
        <v>63</v>
      </c>
      <c r="E18" s="212">
        <f>SUM(E17)/1200</f>
        <v>0</v>
      </c>
      <c r="F18" s="74"/>
      <c r="G18" s="3"/>
      <c r="H18" s="3"/>
      <c r="I18" s="3"/>
    </row>
    <row r="19" spans="1:12" ht="22.5">
      <c r="A19" s="174" t="s">
        <v>90</v>
      </c>
      <c r="B19" s="209">
        <f>SUM(B17+B18+B25)</f>
        <v>0</v>
      </c>
      <c r="C19" s="71">
        <f>SUM(B19/B16)</f>
        <v>0</v>
      </c>
      <c r="D19" s="114" t="s">
        <v>64</v>
      </c>
      <c r="E19" s="213">
        <f>(B9-E17)-E21</f>
        <v>95</v>
      </c>
      <c r="F19" s="74"/>
      <c r="G19" s="133"/>
      <c r="H19" s="133"/>
      <c r="I19" s="3"/>
    </row>
    <row r="20" spans="1:12" ht="22.5">
      <c r="A20" s="173" t="s">
        <v>13</v>
      </c>
      <c r="B20" s="207">
        <f>SUM(B16-B19)</f>
        <v>25</v>
      </c>
      <c r="C20" s="66"/>
      <c r="D20" s="114" t="s">
        <v>65</v>
      </c>
      <c r="E20" s="212">
        <f>SUM(E19)/1200</f>
        <v>7.9166666666666663E-2</v>
      </c>
      <c r="F20" s="74"/>
      <c r="G20" s="3"/>
      <c r="H20" s="3"/>
      <c r="I20" s="3"/>
    </row>
    <row r="21" spans="1:12" ht="18">
      <c r="A21" s="171" t="s">
        <v>89</v>
      </c>
      <c r="B21" s="219">
        <v>80</v>
      </c>
      <c r="C21" s="66"/>
      <c r="D21" s="161" t="s">
        <v>66</v>
      </c>
      <c r="E21" s="214">
        <v>0</v>
      </c>
      <c r="F21" s="154"/>
      <c r="G21" s="61"/>
      <c r="H21" s="3"/>
      <c r="I21" s="3"/>
    </row>
    <row r="22" spans="1:12" ht="18.75" thickBot="1">
      <c r="A22" s="171" t="s">
        <v>37</v>
      </c>
      <c r="B22" s="221">
        <v>0</v>
      </c>
      <c r="C22" s="68"/>
      <c r="D22" s="164" t="s">
        <v>67</v>
      </c>
      <c r="E22" s="215">
        <f>B10-E18-E20</f>
        <v>0.31339531680440774</v>
      </c>
      <c r="F22" s="74"/>
      <c r="G22" s="61"/>
      <c r="H22" s="181"/>
      <c r="I22" s="3"/>
    </row>
    <row r="23" spans="1:12" ht="18.75" thickTop="1">
      <c r="A23" s="171" t="s">
        <v>88</v>
      </c>
      <c r="B23" s="219">
        <v>15</v>
      </c>
      <c r="C23" s="66"/>
      <c r="D23" s="66"/>
      <c r="E23" s="66"/>
      <c r="F23" s="74"/>
      <c r="G23" s="61"/>
      <c r="H23" s="3"/>
      <c r="I23" s="3" t="s">
        <v>7</v>
      </c>
      <c r="J23" s="3"/>
      <c r="K23" s="3"/>
      <c r="L23" s="3"/>
    </row>
    <row r="24" spans="1:12" ht="22.5">
      <c r="A24" s="175" t="s">
        <v>87</v>
      </c>
      <c r="B24" s="210">
        <f>SUM(B22:B23)</f>
        <v>15</v>
      </c>
      <c r="C24" s="66"/>
      <c r="D24" s="66"/>
      <c r="E24" s="66"/>
      <c r="F24" s="74"/>
      <c r="G24" s="61"/>
      <c r="H24" s="3"/>
      <c r="I24" s="3"/>
      <c r="J24" s="3"/>
      <c r="K24" s="3"/>
      <c r="L24" s="3"/>
    </row>
    <row r="25" spans="1:12" ht="23.25" thickBot="1">
      <c r="A25" s="176" t="s">
        <v>16</v>
      </c>
      <c r="B25" s="222">
        <v>0</v>
      </c>
      <c r="C25" s="75"/>
      <c r="D25" s="75"/>
      <c r="E25" s="75"/>
      <c r="F25" s="76"/>
      <c r="G25" s="3"/>
      <c r="I25" s="3"/>
      <c r="J25" s="3"/>
      <c r="K25" s="3"/>
      <c r="L25" s="3"/>
    </row>
    <row r="26" spans="1:12" ht="18.75" thickTop="1">
      <c r="A26" s="100"/>
      <c r="B26" s="139"/>
      <c r="C26" s="139"/>
      <c r="D26" s="138"/>
      <c r="E26" s="135"/>
      <c r="F26" s="135"/>
      <c r="G26" s="3"/>
      <c r="H26" s="3"/>
      <c r="I26" s="3"/>
      <c r="J26" s="3"/>
      <c r="K26" s="3"/>
      <c r="L26" s="3"/>
    </row>
    <row r="27" spans="1:12" ht="23.25" thickBot="1">
      <c r="A27" s="100"/>
      <c r="B27" s="139"/>
      <c r="C27" s="139"/>
      <c r="D27" s="544" t="s">
        <v>83</v>
      </c>
      <c r="E27" s="544"/>
      <c r="F27" s="544"/>
      <c r="G27" s="3"/>
      <c r="H27" s="3"/>
      <c r="J27" s="3"/>
      <c r="K27" s="3"/>
      <c r="L27" s="3"/>
    </row>
    <row r="28" spans="1:12" ht="45.75" customHeight="1" thickBot="1">
      <c r="A28" s="143" t="s">
        <v>41</v>
      </c>
      <c r="B28" s="143" t="s">
        <v>75</v>
      </c>
      <c r="C28" s="144" t="s">
        <v>76</v>
      </c>
      <c r="D28" s="144" t="s">
        <v>77</v>
      </c>
      <c r="E28" s="144" t="s">
        <v>78</v>
      </c>
      <c r="F28" s="144" t="s">
        <v>79</v>
      </c>
      <c r="G28" s="144" t="s">
        <v>80</v>
      </c>
      <c r="H28" s="144" t="s">
        <v>81</v>
      </c>
      <c r="I28" s="144" t="s">
        <v>82</v>
      </c>
    </row>
    <row r="29" spans="1:12" ht="25.35" customHeight="1" thickBot="1">
      <c r="A29" s="232"/>
      <c r="B29" s="233"/>
      <c r="C29" s="234"/>
      <c r="D29" s="235"/>
      <c r="E29" s="236"/>
      <c r="F29" s="236"/>
      <c r="G29" s="236"/>
      <c r="H29" s="237"/>
      <c r="I29" s="233"/>
    </row>
    <row r="30" spans="1:12" ht="25.35" customHeight="1" thickBot="1">
      <c r="A30" s="232"/>
      <c r="B30" s="233"/>
      <c r="C30" s="234"/>
      <c r="D30" s="235"/>
      <c r="E30" s="236"/>
      <c r="F30" s="236"/>
      <c r="G30" s="236"/>
      <c r="H30" s="237"/>
      <c r="I30" s="233"/>
    </row>
    <row r="31" spans="1:12" ht="25.35" customHeight="1" thickBot="1">
      <c r="A31" s="232"/>
      <c r="B31" s="233"/>
      <c r="C31" s="234"/>
      <c r="D31" s="235"/>
      <c r="E31" s="236"/>
      <c r="F31" s="236"/>
      <c r="G31" s="236"/>
      <c r="H31" s="237"/>
      <c r="I31" s="233"/>
    </row>
    <row r="32" spans="1:12" ht="25.35" customHeight="1" thickBot="1">
      <c r="A32" s="232"/>
      <c r="B32" s="233"/>
      <c r="C32" s="234"/>
      <c r="D32" s="235"/>
      <c r="E32" s="236"/>
      <c r="F32" s="236"/>
      <c r="G32" s="236"/>
      <c r="H32" s="237"/>
      <c r="I32" s="233"/>
    </row>
    <row r="33" spans="1:9" ht="25.35" customHeight="1" thickBot="1">
      <c r="A33" s="232"/>
      <c r="B33" s="233"/>
      <c r="C33" s="234"/>
      <c r="D33" s="235"/>
      <c r="E33" s="236"/>
      <c r="F33" s="236"/>
      <c r="G33" s="236"/>
      <c r="H33" s="237"/>
      <c r="I33" s="233"/>
    </row>
    <row r="34" spans="1:9" ht="25.35" customHeight="1" thickBot="1">
      <c r="A34" s="232"/>
      <c r="B34" s="233"/>
      <c r="C34" s="234"/>
      <c r="D34" s="235"/>
      <c r="E34" s="236"/>
      <c r="F34" s="236"/>
      <c r="G34" s="236"/>
      <c r="H34" s="237"/>
      <c r="I34" s="233"/>
    </row>
    <row r="35" spans="1:9" ht="25.35" customHeight="1" thickBot="1">
      <c r="A35" s="232"/>
      <c r="B35" s="233"/>
      <c r="C35" s="234"/>
      <c r="D35" s="235"/>
      <c r="E35" s="236"/>
      <c r="F35" s="236"/>
      <c r="G35" s="236"/>
      <c r="H35" s="233"/>
      <c r="I35" s="233"/>
    </row>
    <row r="36" spans="1:9" ht="25.35" customHeight="1">
      <c r="A36" s="132"/>
      <c r="B36" s="132"/>
      <c r="C36" s="132"/>
      <c r="D36" s="132"/>
      <c r="E36" s="132"/>
      <c r="F36" s="132"/>
      <c r="G36" s="3"/>
      <c r="H36" s="3"/>
      <c r="I36" s="3"/>
    </row>
    <row r="37" spans="1:9" ht="25.35" customHeight="1">
      <c r="A37" s="111"/>
      <c r="B37" s="111"/>
      <c r="C37" s="111"/>
      <c r="D37" s="111"/>
      <c r="E37" s="111"/>
      <c r="F37" s="111"/>
      <c r="G37" s="111"/>
      <c r="H37" s="111"/>
    </row>
    <row r="38" spans="1:9" ht="25.35" customHeight="1">
      <c r="A38" s="106"/>
      <c r="B38" s="106"/>
      <c r="C38" s="106"/>
      <c r="D38" s="107"/>
      <c r="E38" s="106"/>
      <c r="F38" s="106"/>
      <c r="G38" s="106"/>
      <c r="H38" s="106"/>
    </row>
    <row r="39" spans="1:9" ht="25.35" customHeight="1">
      <c r="A39" s="106"/>
      <c r="B39" s="106"/>
      <c r="C39" s="106"/>
      <c r="D39" s="106"/>
      <c r="E39" s="106"/>
      <c r="F39" s="106"/>
      <c r="G39" s="106"/>
      <c r="H39" s="106"/>
    </row>
    <row r="40" spans="1:9" ht="25.35" customHeight="1">
      <c r="A40" s="108"/>
      <c r="B40" s="108"/>
      <c r="C40" s="108"/>
      <c r="D40" s="108"/>
      <c r="E40" s="108"/>
      <c r="F40" s="108"/>
      <c r="G40" s="109"/>
      <c r="H40" s="110"/>
    </row>
    <row r="41" spans="1:9" ht="25.35" customHeight="1">
      <c r="A41" s="108"/>
      <c r="B41" s="108"/>
      <c r="C41" s="108"/>
      <c r="D41" s="108"/>
      <c r="E41" s="108"/>
      <c r="F41" s="108"/>
      <c r="G41" s="108"/>
      <c r="H41" s="108"/>
    </row>
    <row r="42" spans="1:9" ht="25.35" customHeight="1">
      <c r="A42" s="108"/>
      <c r="B42" s="108"/>
      <c r="C42" s="108"/>
      <c r="D42" s="108"/>
      <c r="E42" s="108"/>
      <c r="F42" s="108"/>
      <c r="G42" s="108"/>
      <c r="H42" s="108"/>
    </row>
    <row r="43" spans="1:9" ht="25.35" customHeight="1">
      <c r="A43" s="108"/>
      <c r="B43" s="108"/>
      <c r="C43" s="108"/>
      <c r="D43" s="108"/>
      <c r="E43" s="108"/>
      <c r="F43" s="108"/>
      <c r="G43" s="108"/>
      <c r="H43" s="108"/>
    </row>
    <row r="44" spans="1:9" ht="25.35" customHeight="1">
      <c r="A44" s="108"/>
      <c r="B44" s="108"/>
      <c r="C44" s="108"/>
      <c r="D44" s="108"/>
      <c r="E44" s="108"/>
      <c r="F44" s="108"/>
      <c r="G44" s="108"/>
      <c r="H44" s="108"/>
    </row>
    <row r="45" spans="1:9" ht="25.35" customHeight="1">
      <c r="A45" s="108"/>
      <c r="B45" s="108"/>
      <c r="C45" s="108"/>
      <c r="D45" s="108"/>
      <c r="E45" s="108"/>
      <c r="F45" s="108"/>
      <c r="G45" s="109"/>
      <c r="H45" s="110"/>
    </row>
    <row r="46" spans="1:9" ht="25.35" customHeight="1">
      <c r="A46" s="106"/>
      <c r="B46" s="106"/>
      <c r="C46" s="108"/>
      <c r="D46" s="106"/>
      <c r="E46" s="106"/>
      <c r="F46" s="106"/>
      <c r="G46" s="106"/>
      <c r="H46" s="106"/>
    </row>
    <row r="47" spans="1:9" ht="15">
      <c r="A47" s="105"/>
      <c r="B47" s="57"/>
      <c r="C47" s="57"/>
      <c r="D47" s="105"/>
      <c r="E47" s="57"/>
      <c r="F47" s="57"/>
      <c r="G47" s="539"/>
      <c r="H47" s="540"/>
    </row>
    <row r="48" spans="1:9">
      <c r="A48" s="3"/>
      <c r="B48" s="3"/>
      <c r="C48" s="3"/>
      <c r="D48" s="3"/>
      <c r="E48" s="3"/>
      <c r="F48" s="3"/>
      <c r="G48" s="3"/>
      <c r="H48" s="3"/>
    </row>
    <row r="49" spans="1:8">
      <c r="A49" s="59"/>
      <c r="B49" s="59"/>
      <c r="C49" s="59"/>
      <c r="D49" s="59"/>
      <c r="E49" s="60"/>
      <c r="F49" s="59"/>
      <c r="G49" s="59"/>
      <c r="H49" s="61"/>
    </row>
    <row r="50" spans="1:8">
      <c r="A50" s="62"/>
      <c r="B50" s="62"/>
      <c r="C50" s="63"/>
      <c r="D50" s="62"/>
      <c r="E50" s="62"/>
      <c r="F50" s="62"/>
      <c r="G50" s="58"/>
      <c r="H50" s="58"/>
    </row>
    <row r="51" spans="1:8">
      <c r="A51" s="62"/>
      <c r="B51" s="62"/>
      <c r="C51" s="63"/>
      <c r="D51" s="62"/>
      <c r="E51" s="62"/>
      <c r="F51" s="62"/>
      <c r="G51" s="58"/>
      <c r="H51" s="58"/>
    </row>
    <row r="52" spans="1:8">
      <c r="A52" s="62"/>
      <c r="B52" s="62"/>
      <c r="C52" s="63"/>
      <c r="D52" s="62"/>
      <c r="E52" s="62"/>
      <c r="F52" s="62"/>
      <c r="G52" s="58"/>
      <c r="H52" s="58"/>
    </row>
    <row r="53" spans="1:8">
      <c r="A53" s="62"/>
      <c r="B53" s="62"/>
      <c r="C53" s="63"/>
      <c r="D53" s="62"/>
      <c r="E53" s="62"/>
      <c r="F53" s="62"/>
      <c r="G53" s="58"/>
      <c r="H53" s="58"/>
    </row>
    <row r="54" spans="1:8">
      <c r="A54" s="3"/>
      <c r="B54" s="3"/>
      <c r="C54" s="3"/>
      <c r="D54" s="3"/>
      <c r="E54" s="3"/>
      <c r="F54" s="3"/>
      <c r="G54" s="3"/>
      <c r="H54" s="3"/>
    </row>
    <row r="63" spans="1:8">
      <c r="D63" s="2" t="s">
        <v>7</v>
      </c>
    </row>
  </sheetData>
  <mergeCells count="9">
    <mergeCell ref="G47:H47"/>
    <mergeCell ref="A3:C3"/>
    <mergeCell ref="D27:F27"/>
    <mergeCell ref="A1:H1"/>
    <mergeCell ref="D3:F3"/>
    <mergeCell ref="A13:B13"/>
    <mergeCell ref="D16:F16"/>
    <mergeCell ref="G10:I10"/>
    <mergeCell ref="G12:I16"/>
  </mergeCells>
  <phoneticPr fontId="5" type="noConversion"/>
  <pageMargins left="0.4" right="0.4" top="0.75" bottom="0.25" header="0.5" footer="0.5"/>
  <pageSetup scale="47" orientation="portrait" r:id="rId1"/>
  <headerFooter alignWithMargins="0">
    <oddHeader>&amp;C&amp;"Arial,Bold"&amp;26Hilton Americas - Houston</oddHeader>
  </headerFooter>
  <ignoredErrors>
    <ignoredError sqref="E19" formula="1"/>
    <ignoredError sqref="C17:C19" evalError="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F0"/>
    <pageSetUpPr fitToPage="1"/>
  </sheetPr>
  <dimension ref="A1:E166"/>
  <sheetViews>
    <sheetView showGridLines="0" topLeftCell="A27" zoomScale="90" zoomScaleNormal="90" workbookViewId="0">
      <selection activeCell="C44" sqref="C44"/>
    </sheetView>
  </sheetViews>
  <sheetFormatPr defaultColWidth="9.28515625" defaultRowHeight="12.75"/>
  <cols>
    <col min="1" max="1" width="9.85546875" style="9" customWidth="1"/>
    <col min="2" max="2" width="26.7109375" style="2" customWidth="1"/>
    <col min="3" max="3" width="54.28515625" style="2" bestFit="1" customWidth="1"/>
    <col min="4" max="4" width="23.42578125" style="2" customWidth="1"/>
    <col min="5" max="5" width="30.7109375" style="8" customWidth="1"/>
    <col min="6" max="16384" width="9.28515625" style="2"/>
  </cols>
  <sheetData>
    <row r="1" spans="1:5" s="1" customFormat="1" ht="89.25" customHeight="1" thickTop="1">
      <c r="A1" s="288" t="s">
        <v>129</v>
      </c>
      <c r="B1" s="289"/>
      <c r="C1" s="289"/>
      <c r="D1" s="289"/>
      <c r="E1" s="289"/>
    </row>
    <row r="2" spans="1:5" ht="12.75" customHeight="1" thickBot="1">
      <c r="A2" s="290"/>
      <c r="B2" s="291"/>
      <c r="C2" s="291"/>
      <c r="D2" s="291"/>
      <c r="E2" s="291"/>
    </row>
    <row r="3" spans="1:5" ht="13.5" customHeight="1" thickTop="1" thickBot="1">
      <c r="A3" s="78"/>
      <c r="B3" s="79"/>
      <c r="C3" s="80"/>
      <c r="D3" s="79"/>
      <c r="E3" s="81"/>
    </row>
    <row r="4" spans="1:5" ht="23.85" customHeight="1" thickTop="1">
      <c r="A4" s="565" t="s">
        <v>97</v>
      </c>
      <c r="B4" s="566"/>
      <c r="C4" s="566"/>
      <c r="D4" s="566"/>
      <c r="E4" s="567"/>
    </row>
    <row r="5" spans="1:5" ht="15" customHeight="1">
      <c r="A5" s="343" t="s">
        <v>43</v>
      </c>
      <c r="B5" s="344" t="s">
        <v>41</v>
      </c>
      <c r="C5" s="345" t="s">
        <v>44</v>
      </c>
      <c r="D5" s="345" t="s">
        <v>45</v>
      </c>
      <c r="E5" s="346" t="s">
        <v>46</v>
      </c>
    </row>
    <row r="6" spans="1:5" ht="15" customHeight="1">
      <c r="A6" s="449"/>
      <c r="B6" s="347"/>
      <c r="C6" s="348"/>
      <c r="D6" s="348"/>
      <c r="E6" s="349"/>
    </row>
    <row r="7" spans="1:5" ht="15" customHeight="1">
      <c r="A7" s="347"/>
      <c r="B7" s="347"/>
      <c r="C7" s="348"/>
      <c r="D7" s="348"/>
      <c r="E7" s="349"/>
    </row>
    <row r="8" spans="1:5" ht="15" customHeight="1">
      <c r="A8" s="350"/>
      <c r="B8" s="350"/>
      <c r="C8" s="351"/>
      <c r="D8" s="351"/>
      <c r="E8" s="352"/>
    </row>
    <row r="9" spans="1:5" ht="15" customHeight="1">
      <c r="A9" s="350"/>
      <c r="B9" s="350"/>
      <c r="C9" s="351"/>
      <c r="D9" s="351"/>
      <c r="E9" s="352"/>
    </row>
    <row r="10" spans="1:5" ht="15" customHeight="1">
      <c r="A10" s="350"/>
      <c r="B10" s="350"/>
      <c r="C10" s="351"/>
      <c r="D10" s="351"/>
      <c r="E10" s="352"/>
    </row>
    <row r="11" spans="1:5" ht="15" customHeight="1">
      <c r="A11" s="350"/>
      <c r="B11" s="350"/>
      <c r="C11" s="351"/>
      <c r="D11" s="351"/>
      <c r="E11" s="352"/>
    </row>
    <row r="12" spans="1:5" ht="15" customHeight="1">
      <c r="A12" s="350"/>
      <c r="B12" s="350"/>
      <c r="C12" s="351"/>
      <c r="D12" s="351"/>
      <c r="E12" s="352"/>
    </row>
    <row r="13" spans="1:5" ht="15" customHeight="1">
      <c r="A13" s="350"/>
      <c r="B13" s="350"/>
      <c r="C13" s="351"/>
      <c r="D13" s="351"/>
      <c r="E13" s="352"/>
    </row>
    <row r="14" spans="1:5" ht="15" customHeight="1">
      <c r="A14" s="350"/>
      <c r="B14" s="350"/>
      <c r="C14" s="351"/>
      <c r="D14" s="351"/>
      <c r="E14" s="352"/>
    </row>
    <row r="15" spans="1:5" ht="15" customHeight="1">
      <c r="A15" s="350"/>
      <c r="B15" s="350"/>
      <c r="C15" s="351"/>
      <c r="D15" s="351"/>
      <c r="E15" s="352"/>
    </row>
    <row r="16" spans="1:5" ht="15" customHeight="1">
      <c r="A16" s="350"/>
      <c r="B16" s="350"/>
      <c r="C16" s="351"/>
      <c r="D16" s="351"/>
      <c r="E16" s="352"/>
    </row>
    <row r="17" spans="1:5" ht="20.25" customHeight="1" thickBot="1">
      <c r="A17" s="292"/>
      <c r="B17" s="293" t="s">
        <v>47</v>
      </c>
      <c r="C17" s="294">
        <v>0</v>
      </c>
      <c r="D17" s="295"/>
      <c r="E17" s="296"/>
    </row>
    <row r="18" spans="1:5" ht="15" customHeight="1" thickTop="1">
      <c r="A18" s="297"/>
      <c r="B18" s="298"/>
      <c r="C18" s="299"/>
      <c r="D18" s="300"/>
      <c r="E18" s="301"/>
    </row>
    <row r="19" spans="1:5" ht="15.75">
      <c r="A19" s="302"/>
      <c r="B19" s="303"/>
      <c r="C19" s="304" t="s">
        <v>61</v>
      </c>
      <c r="D19" s="305"/>
      <c r="E19" s="306"/>
    </row>
    <row r="20" spans="1:5" ht="15.75">
      <c r="A20" s="343" t="s">
        <v>43</v>
      </c>
      <c r="B20" s="344" t="s">
        <v>41</v>
      </c>
      <c r="C20" s="353" t="s">
        <v>18</v>
      </c>
      <c r="D20" s="345" t="s">
        <v>45</v>
      </c>
      <c r="E20" s="346" t="s">
        <v>46</v>
      </c>
    </row>
    <row r="21" spans="1:5" ht="15">
      <c r="A21" s="350"/>
      <c r="B21" s="350"/>
      <c r="C21" s="351"/>
      <c r="D21" s="351"/>
      <c r="E21" s="352"/>
    </row>
    <row r="22" spans="1:5" ht="15">
      <c r="A22" s="350"/>
      <c r="B22" s="350"/>
      <c r="C22" s="351"/>
      <c r="D22" s="351"/>
      <c r="E22" s="352"/>
    </row>
    <row r="23" spans="1:5" ht="15">
      <c r="A23" s="350"/>
      <c r="B23" s="350"/>
      <c r="C23" s="351"/>
      <c r="D23" s="351"/>
      <c r="E23" s="352"/>
    </row>
    <row r="24" spans="1:5" ht="15">
      <c r="A24" s="350"/>
      <c r="B24" s="350"/>
      <c r="C24" s="351"/>
      <c r="D24" s="351"/>
      <c r="E24" s="352"/>
    </row>
    <row r="25" spans="1:5" ht="15">
      <c r="A25" s="350"/>
      <c r="B25" s="350"/>
      <c r="C25" s="351"/>
      <c r="D25" s="351"/>
      <c r="E25" s="352"/>
    </row>
    <row r="26" spans="1:5" ht="15">
      <c r="A26" s="350"/>
      <c r="B26" s="350"/>
      <c r="C26" s="351"/>
      <c r="D26" s="351"/>
      <c r="E26" s="352"/>
    </row>
    <row r="27" spans="1:5" ht="21" thickBot="1">
      <c r="A27" s="307"/>
      <c r="B27" s="308" t="s">
        <v>48</v>
      </c>
      <c r="C27" s="309">
        <v>0</v>
      </c>
      <c r="D27" s="310"/>
      <c r="E27" s="311"/>
    </row>
    <row r="28" spans="1:5" ht="16.5" thickTop="1">
      <c r="A28" s="312"/>
      <c r="B28" s="312"/>
      <c r="C28" s="313"/>
      <c r="D28" s="312"/>
      <c r="E28" s="314"/>
    </row>
    <row r="29" spans="1:5" ht="15.75">
      <c r="A29" s="312"/>
      <c r="B29" s="312"/>
      <c r="C29" s="313"/>
      <c r="D29" s="312"/>
      <c r="E29" s="314"/>
    </row>
    <row r="30" spans="1:5" ht="15.75">
      <c r="A30" s="302"/>
      <c r="B30" s="303"/>
      <c r="C30" s="304" t="s">
        <v>140</v>
      </c>
      <c r="D30" s="305"/>
      <c r="E30" s="306"/>
    </row>
    <row r="31" spans="1:5" ht="15.75">
      <c r="A31" s="343" t="s">
        <v>43</v>
      </c>
      <c r="B31" s="344" t="s">
        <v>41</v>
      </c>
      <c r="C31" s="353" t="s">
        <v>18</v>
      </c>
      <c r="D31" s="345" t="s">
        <v>45</v>
      </c>
      <c r="E31" s="346" t="s">
        <v>46</v>
      </c>
    </row>
    <row r="32" spans="1:5" s="7" customFormat="1" ht="15">
      <c r="A32" s="373"/>
      <c r="B32" s="373"/>
      <c r="C32" s="374"/>
      <c r="D32" s="374"/>
      <c r="E32" s="375"/>
    </row>
    <row r="33" spans="1:5" s="7" customFormat="1" ht="15">
      <c r="A33" s="350"/>
      <c r="B33" s="350"/>
      <c r="C33" s="351"/>
      <c r="D33" s="351"/>
      <c r="E33" s="352"/>
    </row>
    <row r="34" spans="1:5" s="7" customFormat="1" ht="15">
      <c r="A34" s="350"/>
      <c r="B34" s="350"/>
      <c r="C34" s="351"/>
      <c r="D34" s="351"/>
      <c r="E34" s="352"/>
    </row>
    <row r="35" spans="1:5" s="7" customFormat="1" ht="15">
      <c r="A35" s="350"/>
      <c r="B35" s="350"/>
      <c r="C35" s="351"/>
      <c r="D35" s="351"/>
      <c r="E35" s="352"/>
    </row>
    <row r="36" spans="1:5" ht="21" thickBot="1">
      <c r="A36" s="315"/>
      <c r="B36" s="293" t="s">
        <v>98</v>
      </c>
      <c r="C36" s="309">
        <v>0</v>
      </c>
      <c r="D36" s="316"/>
      <c r="E36" s="317"/>
    </row>
    <row r="37" spans="1:5" ht="17.25" thickTop="1" thickBot="1">
      <c r="A37" s="82"/>
      <c r="B37" s="82"/>
      <c r="C37" s="83"/>
      <c r="D37" s="82"/>
      <c r="E37" s="84"/>
    </row>
    <row r="38" spans="1:5" ht="21.75" thickTop="1" thickBot="1">
      <c r="A38" s="82"/>
      <c r="B38" s="318" t="s">
        <v>30</v>
      </c>
      <c r="C38" s="130">
        <f>C17+C27+C36</f>
        <v>0</v>
      </c>
      <c r="D38" s="82"/>
      <c r="E38" s="84"/>
    </row>
    <row r="39" spans="1:5" ht="16.5" thickTop="1">
      <c r="A39" s="82"/>
      <c r="B39" s="82"/>
      <c r="C39" s="83"/>
      <c r="D39" s="82"/>
      <c r="E39" s="84"/>
    </row>
    <row r="40" spans="1:5">
      <c r="A40" s="4"/>
      <c r="B40" s="4"/>
      <c r="C40" s="5"/>
      <c r="D40" s="4"/>
      <c r="E40" s="6"/>
    </row>
    <row r="41" spans="1:5" ht="18.75">
      <c r="A41" s="568" t="s">
        <v>36</v>
      </c>
      <c r="B41" s="568"/>
      <c r="C41" s="568"/>
      <c r="D41" s="568"/>
      <c r="E41" s="568"/>
    </row>
    <row r="42" spans="1:5" ht="15.75">
      <c r="A42" s="569">
        <v>45526</v>
      </c>
      <c r="B42" s="570"/>
      <c r="C42" s="570"/>
      <c r="D42" s="570"/>
      <c r="E42" s="570"/>
    </row>
    <row r="43" spans="1:5">
      <c r="A43" s="337" t="s">
        <v>91</v>
      </c>
      <c r="B43" s="337" t="s">
        <v>92</v>
      </c>
      <c r="C43" s="338" t="s">
        <v>95</v>
      </c>
      <c r="D43" s="339" t="s">
        <v>94</v>
      </c>
      <c r="E43" s="340" t="s">
        <v>93</v>
      </c>
    </row>
    <row r="44" spans="1:5">
      <c r="A44" s="450">
        <v>1204</v>
      </c>
      <c r="B44" s="450" t="s">
        <v>252</v>
      </c>
      <c r="C44" s="450" t="s">
        <v>253</v>
      </c>
      <c r="D44" s="451"/>
      <c r="E44" s="452"/>
    </row>
    <row r="45" spans="1:5">
      <c r="A45" s="450"/>
      <c r="B45" s="450"/>
      <c r="C45" s="450"/>
      <c r="D45" s="451"/>
      <c r="E45" s="452"/>
    </row>
    <row r="46" spans="1:5">
      <c r="A46" s="450"/>
      <c r="B46" s="453"/>
      <c r="C46" s="450"/>
      <c r="D46" s="451"/>
      <c r="E46" s="452"/>
    </row>
    <row r="47" spans="1:5">
      <c r="A47" s="450"/>
      <c r="B47" s="450"/>
      <c r="C47" s="450"/>
      <c r="D47" s="451"/>
      <c r="E47" s="452"/>
    </row>
    <row r="48" spans="1:5">
      <c r="A48" s="450"/>
      <c r="B48" s="450"/>
      <c r="C48" s="450"/>
      <c r="D48" s="451"/>
      <c r="E48" s="452"/>
    </row>
    <row r="49" spans="1:5">
      <c r="A49" s="450"/>
      <c r="B49" s="450"/>
      <c r="C49" s="450"/>
      <c r="D49" s="450"/>
      <c r="E49" s="454"/>
    </row>
    <row r="50" spans="1:5">
      <c r="A50" s="455"/>
      <c r="B50" s="455"/>
      <c r="C50" s="455"/>
      <c r="D50" s="456"/>
      <c r="E50" s="456"/>
    </row>
    <row r="51" spans="1:5">
      <c r="A51" s="319" t="s">
        <v>128</v>
      </c>
      <c r="B51" s="320"/>
      <c r="C51" s="321"/>
      <c r="D51" s="322"/>
      <c r="E51" s="323"/>
    </row>
    <row r="52" spans="1:5">
      <c r="A52" s="202"/>
      <c r="B52" s="203"/>
      <c r="C52" s="202"/>
      <c r="D52" s="204"/>
      <c r="E52" s="204"/>
    </row>
    <row r="53" spans="1:5">
      <c r="A53" s="4"/>
      <c r="B53" s="5"/>
      <c r="C53" s="5"/>
      <c r="D53" s="5"/>
      <c r="E53" s="6"/>
    </row>
    <row r="54" spans="1:5">
      <c r="A54" s="4"/>
      <c r="B54" s="5"/>
      <c r="C54" s="5"/>
      <c r="D54" s="5"/>
      <c r="E54" s="6"/>
    </row>
    <row r="55" spans="1:5">
      <c r="A55" s="4"/>
      <c r="B55" s="5"/>
      <c r="C55" s="5"/>
      <c r="D55" s="5"/>
      <c r="E55" s="6"/>
    </row>
    <row r="56" spans="1:5" ht="12.75" customHeight="1">
      <c r="A56" s="561" t="s">
        <v>131</v>
      </c>
      <c r="B56" s="562"/>
      <c r="C56" s="562"/>
      <c r="D56" s="562"/>
      <c r="E56" s="562"/>
    </row>
    <row r="57" spans="1:5" ht="12.75" customHeight="1">
      <c r="A57" s="563"/>
      <c r="B57" s="564"/>
      <c r="C57" s="564"/>
      <c r="D57" s="564"/>
      <c r="E57" s="564"/>
    </row>
    <row r="58" spans="1:5" ht="13.5" customHeight="1">
      <c r="A58" s="563"/>
      <c r="B58" s="564"/>
      <c r="C58" s="564"/>
      <c r="D58" s="564"/>
      <c r="E58" s="564"/>
    </row>
    <row r="59" spans="1:5" ht="15">
      <c r="A59" s="329" t="s">
        <v>132</v>
      </c>
      <c r="B59" s="330" t="s">
        <v>133</v>
      </c>
      <c r="C59" s="333" t="s">
        <v>134</v>
      </c>
      <c r="D59" s="334" t="s">
        <v>135</v>
      </c>
      <c r="E59" s="334" t="s">
        <v>136</v>
      </c>
    </row>
    <row r="60" spans="1:5">
      <c r="A60" s="332"/>
      <c r="B60" s="332"/>
      <c r="C60" s="335"/>
      <c r="D60" s="336"/>
      <c r="E60" s="342"/>
    </row>
    <row r="61" spans="1:5">
      <c r="A61" s="332"/>
      <c r="B61" s="332"/>
      <c r="C61" s="371"/>
      <c r="D61" s="372"/>
      <c r="E61" s="342"/>
    </row>
    <row r="62" spans="1:5">
      <c r="A62" s="332"/>
      <c r="B62" s="332"/>
      <c r="C62" s="335"/>
      <c r="D62" s="336"/>
      <c r="E62" s="342"/>
    </row>
    <row r="63" spans="1:5">
      <c r="A63" s="457"/>
      <c r="B63" s="332"/>
      <c r="C63" s="371"/>
      <c r="D63" s="372"/>
      <c r="E63" s="342"/>
    </row>
    <row r="64" spans="1:5">
      <c r="A64" s="332"/>
      <c r="B64" s="332"/>
      <c r="C64" s="335"/>
      <c r="D64" s="336"/>
      <c r="E64" s="342"/>
    </row>
    <row r="65" spans="1:5">
      <c r="A65" s="458"/>
      <c r="B65" s="332"/>
      <c r="C65" s="335"/>
      <c r="D65" s="336"/>
      <c r="E65" s="342"/>
    </row>
    <row r="66" spans="1:5">
      <c r="A66" s="332"/>
      <c r="B66" s="332"/>
      <c r="C66" s="335"/>
      <c r="D66" s="336"/>
      <c r="E66" s="342"/>
    </row>
    <row r="67" spans="1:5">
      <c r="A67" s="459"/>
      <c r="B67" s="459"/>
      <c r="C67" s="459"/>
      <c r="D67" s="459"/>
      <c r="E67" s="459"/>
    </row>
    <row r="68" spans="1:5">
      <c r="A68" s="561" t="s">
        <v>148</v>
      </c>
      <c r="B68" s="562"/>
      <c r="C68" s="562"/>
      <c r="D68" s="562"/>
      <c r="E68" s="562"/>
    </row>
    <row r="69" spans="1:5">
      <c r="A69" s="563"/>
      <c r="B69" s="564"/>
      <c r="C69" s="564"/>
      <c r="D69" s="564"/>
      <c r="E69" s="564"/>
    </row>
    <row r="70" spans="1:5">
      <c r="A70" s="563"/>
      <c r="B70" s="564"/>
      <c r="C70" s="564"/>
      <c r="D70" s="564"/>
      <c r="E70" s="564"/>
    </row>
    <row r="71" spans="1:5" ht="31.5" customHeight="1">
      <c r="A71" s="329" t="s">
        <v>143</v>
      </c>
      <c r="B71" s="329" t="s">
        <v>144</v>
      </c>
      <c r="C71" s="330" t="s">
        <v>138</v>
      </c>
      <c r="D71" s="333" t="s">
        <v>145</v>
      </c>
      <c r="E71" s="334" t="s">
        <v>139</v>
      </c>
    </row>
    <row r="72" spans="1:5">
      <c r="A72" s="331"/>
      <c r="B72" s="331"/>
      <c r="C72" s="331"/>
      <c r="D72" s="279"/>
      <c r="E72" s="341"/>
    </row>
    <row r="73" spans="1:5">
      <c r="A73" s="331"/>
      <c r="B73" s="331"/>
      <c r="C73" s="331"/>
      <c r="D73" s="277"/>
      <c r="E73" s="341"/>
    </row>
    <row r="74" spans="1:5">
      <c r="A74" s="331"/>
      <c r="B74" s="331"/>
      <c r="C74" s="331"/>
      <c r="D74" s="279"/>
      <c r="E74" s="341"/>
    </row>
    <row r="75" spans="1:5">
      <c r="A75" s="331"/>
      <c r="B75" s="331"/>
      <c r="C75" s="331"/>
      <c r="D75" s="277"/>
      <c r="E75" s="341"/>
    </row>
    <row r="76" spans="1:5">
      <c r="A76" s="331"/>
      <c r="B76" s="331"/>
      <c r="C76" s="331"/>
      <c r="D76" s="279"/>
      <c r="E76" s="341"/>
    </row>
    <row r="77" spans="1:5">
      <c r="A77" s="331"/>
      <c r="B77" s="331"/>
      <c r="C77" s="331"/>
      <c r="D77" s="279"/>
      <c r="E77" s="341"/>
    </row>
    <row r="78" spans="1:5">
      <c r="A78" s="332"/>
      <c r="B78" s="332"/>
      <c r="C78" s="332"/>
      <c r="D78" s="335"/>
      <c r="E78" s="342"/>
    </row>
    <row r="79" spans="1:5">
      <c r="A79" s="4"/>
      <c r="B79" s="5"/>
      <c r="C79" s="5"/>
      <c r="D79" s="5"/>
      <c r="E79" s="6"/>
    </row>
    <row r="80" spans="1:5">
      <c r="A80" s="4"/>
      <c r="B80" s="5"/>
      <c r="C80" s="5"/>
      <c r="D80" s="5"/>
      <c r="E80" s="6"/>
    </row>
    <row r="81" spans="1:5">
      <c r="A81" s="4"/>
      <c r="B81" s="5"/>
      <c r="C81" s="5"/>
      <c r="D81" s="5"/>
      <c r="E81" s="6"/>
    </row>
    <row r="82" spans="1:5">
      <c r="A82" s="4"/>
      <c r="B82" s="5"/>
      <c r="C82" s="5"/>
      <c r="D82" s="5"/>
      <c r="E82" s="6"/>
    </row>
    <row r="83" spans="1:5">
      <c r="A83" s="4"/>
      <c r="B83" s="5"/>
      <c r="C83" s="5"/>
      <c r="D83" s="5"/>
      <c r="E83" s="6"/>
    </row>
    <row r="84" spans="1:5">
      <c r="A84" s="4"/>
      <c r="B84" s="5"/>
      <c r="C84" s="5"/>
      <c r="D84" s="5"/>
      <c r="E84" s="6"/>
    </row>
    <row r="85" spans="1:5">
      <c r="A85" s="4"/>
      <c r="B85" s="5"/>
      <c r="C85" s="5"/>
      <c r="D85" s="5"/>
      <c r="E85" s="6"/>
    </row>
    <row r="86" spans="1:5">
      <c r="A86" s="4"/>
      <c r="B86" s="5"/>
      <c r="C86" s="5"/>
      <c r="D86" s="5"/>
      <c r="E86" s="6"/>
    </row>
    <row r="87" spans="1:5">
      <c r="A87" s="4"/>
      <c r="B87" s="5"/>
      <c r="C87" s="5"/>
      <c r="D87" s="5"/>
      <c r="E87" s="6"/>
    </row>
    <row r="88" spans="1:5">
      <c r="A88" s="4"/>
      <c r="B88" s="5"/>
      <c r="C88" s="5"/>
      <c r="D88" s="5"/>
      <c r="E88" s="6"/>
    </row>
    <row r="89" spans="1:5">
      <c r="A89" s="4"/>
      <c r="B89" s="5"/>
      <c r="C89" s="5"/>
      <c r="D89" s="5"/>
      <c r="E89" s="6"/>
    </row>
    <row r="90" spans="1:5">
      <c r="A90" s="4"/>
      <c r="B90" s="5"/>
      <c r="C90" s="5"/>
      <c r="D90" s="5"/>
      <c r="E90" s="6"/>
    </row>
    <row r="91" spans="1:5">
      <c r="A91" s="4"/>
      <c r="B91" s="5"/>
      <c r="C91" s="5"/>
      <c r="D91" s="5"/>
      <c r="E91" s="6"/>
    </row>
    <row r="92" spans="1:5">
      <c r="A92" s="4"/>
      <c r="B92" s="5"/>
      <c r="C92" s="5"/>
      <c r="D92" s="5"/>
      <c r="E92" s="6"/>
    </row>
    <row r="93" spans="1:5">
      <c r="A93" s="4"/>
      <c r="B93" s="5"/>
      <c r="C93" s="5"/>
      <c r="D93" s="5"/>
      <c r="E93" s="6"/>
    </row>
    <row r="94" spans="1:5">
      <c r="A94" s="4"/>
      <c r="B94" s="5"/>
      <c r="C94" s="5"/>
      <c r="D94" s="5"/>
      <c r="E94" s="6"/>
    </row>
    <row r="95" spans="1:5">
      <c r="A95" s="4"/>
      <c r="B95" s="5"/>
      <c r="C95" s="5"/>
      <c r="D95" s="5"/>
      <c r="E95" s="6"/>
    </row>
    <row r="96" spans="1:5">
      <c r="A96" s="4"/>
      <c r="B96" s="5"/>
      <c r="C96" s="5"/>
      <c r="D96" s="5"/>
      <c r="E96" s="6"/>
    </row>
    <row r="97" spans="1:5">
      <c r="A97" s="4"/>
      <c r="B97" s="5"/>
      <c r="C97" s="5"/>
      <c r="D97" s="5"/>
      <c r="E97" s="6"/>
    </row>
    <row r="98" spans="1:5">
      <c r="A98" s="4"/>
      <c r="B98" s="5"/>
      <c r="C98" s="5"/>
      <c r="D98" s="5"/>
      <c r="E98" s="6"/>
    </row>
    <row r="99" spans="1:5">
      <c r="A99" s="4"/>
      <c r="B99" s="5"/>
      <c r="C99" s="5"/>
      <c r="D99" s="5"/>
      <c r="E99" s="6"/>
    </row>
    <row r="100" spans="1:5">
      <c r="A100" s="4"/>
      <c r="B100" s="5"/>
      <c r="C100" s="5"/>
      <c r="D100" s="5"/>
      <c r="E100" s="6"/>
    </row>
    <row r="101" spans="1:5">
      <c r="A101" s="4"/>
      <c r="B101" s="5"/>
      <c r="C101" s="5"/>
      <c r="D101" s="5"/>
      <c r="E101" s="6"/>
    </row>
    <row r="102" spans="1:5">
      <c r="A102" s="4"/>
      <c r="B102" s="5"/>
      <c r="C102" s="5"/>
      <c r="D102" s="5"/>
      <c r="E102" s="6"/>
    </row>
    <row r="103" spans="1:5">
      <c r="A103" s="4"/>
      <c r="B103" s="5"/>
      <c r="C103" s="5"/>
      <c r="D103" s="5"/>
      <c r="E103" s="6"/>
    </row>
    <row r="104" spans="1:5">
      <c r="A104" s="4"/>
      <c r="B104" s="5"/>
      <c r="C104" s="5"/>
      <c r="D104" s="5"/>
      <c r="E104" s="6"/>
    </row>
    <row r="105" spans="1:5">
      <c r="A105" s="4"/>
      <c r="B105" s="5"/>
      <c r="C105" s="5"/>
      <c r="D105" s="5"/>
      <c r="E105" s="6"/>
    </row>
    <row r="106" spans="1:5">
      <c r="A106" s="4"/>
      <c r="B106" s="5"/>
      <c r="C106" s="5"/>
      <c r="D106" s="5"/>
      <c r="E106" s="6"/>
    </row>
    <row r="107" spans="1:5">
      <c r="A107" s="4"/>
      <c r="B107" s="5"/>
      <c r="C107" s="5"/>
      <c r="D107" s="5"/>
      <c r="E107" s="6"/>
    </row>
    <row r="108" spans="1:5">
      <c r="A108" s="4"/>
      <c r="B108" s="5"/>
      <c r="C108" s="5"/>
      <c r="D108" s="5"/>
      <c r="E108" s="6"/>
    </row>
    <row r="109" spans="1:5">
      <c r="A109" s="4"/>
      <c r="B109" s="5"/>
      <c r="C109" s="5"/>
      <c r="D109" s="5"/>
      <c r="E109" s="6"/>
    </row>
    <row r="110" spans="1:5">
      <c r="A110" s="4"/>
      <c r="B110" s="5"/>
      <c r="C110" s="5"/>
      <c r="D110" s="5"/>
      <c r="E110" s="6"/>
    </row>
    <row r="111" spans="1:5">
      <c r="A111" s="4"/>
      <c r="B111" s="5"/>
      <c r="C111" s="5"/>
      <c r="D111" s="5"/>
      <c r="E111" s="6"/>
    </row>
    <row r="112" spans="1:5">
      <c r="A112" s="4"/>
      <c r="B112" s="5"/>
      <c r="C112" s="5"/>
      <c r="D112" s="5"/>
      <c r="E112" s="6"/>
    </row>
    <row r="113" spans="1:5">
      <c r="A113" s="4"/>
      <c r="B113" s="5"/>
      <c r="C113" s="5"/>
      <c r="D113" s="5"/>
      <c r="E113" s="6"/>
    </row>
    <row r="114" spans="1:5">
      <c r="A114" s="4"/>
      <c r="B114" s="5"/>
      <c r="C114" s="5"/>
      <c r="D114" s="5"/>
      <c r="E114" s="6"/>
    </row>
    <row r="115" spans="1:5">
      <c r="A115" s="4"/>
      <c r="B115" s="5"/>
      <c r="C115" s="5"/>
      <c r="D115" s="5"/>
      <c r="E115" s="6"/>
    </row>
    <row r="116" spans="1:5">
      <c r="A116" s="4"/>
      <c r="B116" s="5"/>
      <c r="C116" s="5"/>
      <c r="D116" s="5"/>
      <c r="E116" s="6"/>
    </row>
    <row r="117" spans="1:5">
      <c r="A117" s="4"/>
      <c r="B117" s="5"/>
      <c r="C117" s="5"/>
      <c r="D117" s="5"/>
      <c r="E117" s="6"/>
    </row>
    <row r="118" spans="1:5">
      <c r="A118" s="4"/>
      <c r="B118" s="5"/>
      <c r="C118" s="5"/>
      <c r="D118" s="5"/>
      <c r="E118" s="6"/>
    </row>
    <row r="119" spans="1:5">
      <c r="A119" s="4"/>
      <c r="B119" s="5"/>
      <c r="C119" s="5"/>
      <c r="D119" s="5"/>
      <c r="E119" s="6"/>
    </row>
    <row r="120" spans="1:5">
      <c r="A120" s="4"/>
      <c r="B120" s="5"/>
      <c r="C120" s="5"/>
      <c r="D120" s="5"/>
      <c r="E120" s="6"/>
    </row>
    <row r="121" spans="1:5">
      <c r="A121" s="4"/>
      <c r="B121" s="5"/>
      <c r="C121" s="5"/>
      <c r="D121" s="5"/>
      <c r="E121" s="6"/>
    </row>
    <row r="122" spans="1:5">
      <c r="A122" s="4"/>
      <c r="B122" s="5"/>
      <c r="C122" s="5"/>
      <c r="D122" s="5"/>
      <c r="E122" s="6"/>
    </row>
    <row r="123" spans="1:5">
      <c r="A123" s="4"/>
      <c r="B123" s="5"/>
      <c r="C123" s="5"/>
      <c r="D123" s="5"/>
      <c r="E123" s="6"/>
    </row>
    <row r="124" spans="1:5">
      <c r="A124" s="4"/>
      <c r="B124" s="5"/>
      <c r="C124" s="5"/>
      <c r="D124" s="5"/>
      <c r="E124" s="6"/>
    </row>
    <row r="125" spans="1:5">
      <c r="A125" s="4"/>
      <c r="B125" s="5"/>
      <c r="C125" s="5"/>
      <c r="D125" s="5"/>
      <c r="E125" s="6"/>
    </row>
    <row r="126" spans="1:5">
      <c r="A126" s="4"/>
      <c r="B126" s="5"/>
      <c r="C126" s="5"/>
      <c r="D126" s="5"/>
      <c r="E126" s="6"/>
    </row>
    <row r="127" spans="1:5">
      <c r="A127" s="4"/>
      <c r="B127" s="5"/>
      <c r="C127" s="5"/>
      <c r="D127" s="5"/>
      <c r="E127" s="6"/>
    </row>
    <row r="128" spans="1:5">
      <c r="A128" s="4"/>
      <c r="B128" s="5"/>
      <c r="C128" s="5"/>
      <c r="D128" s="5"/>
      <c r="E128" s="6"/>
    </row>
    <row r="129" spans="1:5" ht="15">
      <c r="A129" s="4"/>
      <c r="B129" s="10"/>
      <c r="C129" s="5"/>
      <c r="D129" s="5"/>
      <c r="E129" s="11"/>
    </row>
    <row r="130" spans="1:5" ht="15">
      <c r="A130" s="12"/>
      <c r="B130" s="5"/>
      <c r="C130" s="5"/>
      <c r="D130" s="5"/>
      <c r="E130" s="6"/>
    </row>
    <row r="131" spans="1:5">
      <c r="A131" s="4"/>
      <c r="B131" s="5"/>
      <c r="C131" s="5"/>
      <c r="D131" s="5"/>
      <c r="E131" s="6"/>
    </row>
    <row r="132" spans="1:5">
      <c r="A132" s="4"/>
      <c r="B132" s="5"/>
      <c r="C132" s="5"/>
      <c r="D132" s="5"/>
      <c r="E132" s="6"/>
    </row>
    <row r="133" spans="1:5">
      <c r="A133" s="4"/>
      <c r="B133" s="5"/>
      <c r="C133" s="5"/>
      <c r="D133" s="5"/>
      <c r="E133" s="6"/>
    </row>
    <row r="134" spans="1:5">
      <c r="A134" s="4"/>
      <c r="B134" s="5"/>
      <c r="C134" s="5"/>
      <c r="D134" s="5"/>
      <c r="E134" s="6"/>
    </row>
    <row r="135" spans="1:5">
      <c r="A135" s="4"/>
      <c r="B135" s="5"/>
      <c r="C135" s="5"/>
      <c r="D135" s="5"/>
      <c r="E135" s="6"/>
    </row>
    <row r="136" spans="1:5">
      <c r="A136" s="4"/>
      <c r="B136" s="5"/>
      <c r="C136" s="5"/>
      <c r="D136" s="5"/>
      <c r="E136" s="6"/>
    </row>
    <row r="137" spans="1:5">
      <c r="A137" s="4"/>
      <c r="B137" s="5"/>
      <c r="C137" s="5"/>
      <c r="D137" s="5"/>
      <c r="E137" s="6"/>
    </row>
    <row r="138" spans="1:5">
      <c r="A138" s="4"/>
      <c r="B138" s="5"/>
      <c r="C138" s="5"/>
      <c r="D138" s="5"/>
      <c r="E138" s="6"/>
    </row>
    <row r="139" spans="1:5">
      <c r="A139" s="4"/>
      <c r="B139" s="5"/>
      <c r="C139" s="5"/>
      <c r="D139" s="5"/>
      <c r="E139" s="6"/>
    </row>
    <row r="140" spans="1:5">
      <c r="A140" s="4"/>
      <c r="B140" s="5"/>
      <c r="C140" s="5"/>
      <c r="D140" s="5"/>
      <c r="E140" s="6"/>
    </row>
    <row r="141" spans="1:5">
      <c r="A141" s="4"/>
      <c r="B141" s="5"/>
      <c r="C141" s="5"/>
      <c r="D141" s="5"/>
      <c r="E141" s="6"/>
    </row>
    <row r="142" spans="1:5">
      <c r="A142" s="4"/>
      <c r="B142" s="5"/>
      <c r="C142" s="5"/>
      <c r="D142" s="5"/>
      <c r="E142" s="6"/>
    </row>
    <row r="143" spans="1:5">
      <c r="A143" s="4"/>
      <c r="B143" s="5"/>
      <c r="C143" s="5"/>
      <c r="D143" s="5"/>
      <c r="E143" s="6"/>
    </row>
    <row r="144" spans="1:5">
      <c r="A144" s="4"/>
      <c r="B144" s="5"/>
      <c r="C144" s="5"/>
      <c r="D144" s="5"/>
      <c r="E144" s="6"/>
    </row>
    <row r="145" spans="1:5">
      <c r="A145" s="4"/>
      <c r="B145" s="5"/>
      <c r="C145" s="5"/>
      <c r="D145" s="5"/>
      <c r="E145" s="6"/>
    </row>
    <row r="146" spans="1:5">
      <c r="A146" s="4"/>
      <c r="B146" s="5"/>
      <c r="C146" s="5"/>
      <c r="D146" s="5"/>
      <c r="E146" s="6"/>
    </row>
    <row r="147" spans="1:5">
      <c r="A147" s="4"/>
      <c r="B147" s="5"/>
      <c r="C147" s="5"/>
      <c r="D147" s="5"/>
      <c r="E147" s="6"/>
    </row>
    <row r="148" spans="1:5">
      <c r="A148" s="4"/>
      <c r="B148" s="5"/>
      <c r="C148" s="5"/>
      <c r="D148" s="5"/>
      <c r="E148" s="6"/>
    </row>
    <row r="149" spans="1:5">
      <c r="A149" s="4"/>
      <c r="B149" s="5"/>
      <c r="C149" s="5"/>
      <c r="D149" s="5"/>
      <c r="E149" s="6"/>
    </row>
    <row r="150" spans="1:5">
      <c r="A150" s="4"/>
      <c r="B150" s="5"/>
      <c r="C150" s="5"/>
      <c r="D150" s="5"/>
      <c r="E150" s="6"/>
    </row>
    <row r="151" spans="1:5">
      <c r="A151" s="4"/>
      <c r="B151" s="5"/>
      <c r="C151" s="5"/>
      <c r="D151" s="5"/>
      <c r="E151" s="6"/>
    </row>
    <row r="152" spans="1:5">
      <c r="A152" s="4"/>
      <c r="B152" s="5"/>
      <c r="C152" s="5"/>
      <c r="D152" s="5"/>
      <c r="E152" s="6"/>
    </row>
    <row r="153" spans="1:5">
      <c r="A153" s="4"/>
      <c r="B153" s="5"/>
      <c r="C153" s="5"/>
      <c r="D153" s="5"/>
      <c r="E153" s="6"/>
    </row>
    <row r="154" spans="1:5">
      <c r="A154" s="4"/>
      <c r="B154" s="5"/>
      <c r="C154" s="5"/>
      <c r="D154" s="5"/>
      <c r="E154" s="6"/>
    </row>
    <row r="155" spans="1:5">
      <c r="A155" s="4"/>
      <c r="B155" s="5"/>
      <c r="C155" s="5"/>
      <c r="D155" s="5"/>
      <c r="E155" s="6"/>
    </row>
    <row r="156" spans="1:5">
      <c r="A156" s="4"/>
      <c r="B156" s="5"/>
      <c r="C156" s="5"/>
      <c r="D156" s="5"/>
      <c r="E156" s="6"/>
    </row>
    <row r="157" spans="1:5">
      <c r="A157" s="4"/>
      <c r="B157" s="5"/>
      <c r="C157" s="5"/>
      <c r="D157" s="5"/>
      <c r="E157" s="6"/>
    </row>
    <row r="158" spans="1:5">
      <c r="A158" s="4"/>
      <c r="B158" s="5"/>
      <c r="C158" s="5"/>
      <c r="D158" s="5"/>
      <c r="E158" s="6"/>
    </row>
    <row r="159" spans="1:5">
      <c r="A159" s="4"/>
      <c r="B159" s="5"/>
      <c r="C159" s="5"/>
      <c r="D159" s="5"/>
      <c r="E159" s="6"/>
    </row>
    <row r="160" spans="1:5">
      <c r="A160" s="4"/>
      <c r="B160" s="5"/>
      <c r="C160" s="5"/>
      <c r="D160" s="5"/>
      <c r="E160" s="6"/>
    </row>
    <row r="161" spans="1:5">
      <c r="A161" s="4"/>
      <c r="B161" s="5"/>
      <c r="C161" s="5"/>
      <c r="D161" s="5"/>
      <c r="E161" s="6"/>
    </row>
    <row r="162" spans="1:5">
      <c r="A162" s="4"/>
      <c r="B162" s="5"/>
      <c r="C162" s="5"/>
      <c r="D162" s="5"/>
      <c r="E162" s="6"/>
    </row>
    <row r="163" spans="1:5">
      <c r="A163" s="4"/>
      <c r="B163" s="5"/>
      <c r="C163" s="5"/>
      <c r="D163" s="5"/>
      <c r="E163" s="6"/>
    </row>
    <row r="164" spans="1:5">
      <c r="A164" s="4"/>
      <c r="B164" s="5"/>
      <c r="C164" s="5"/>
      <c r="D164" s="5"/>
      <c r="E164" s="6"/>
    </row>
    <row r="165" spans="1:5">
      <c r="A165" s="4"/>
      <c r="B165" s="5"/>
      <c r="C165" s="5"/>
      <c r="D165" s="5"/>
      <c r="E165" s="6"/>
    </row>
    <row r="166" spans="1:5">
      <c r="A166" s="4"/>
    </row>
  </sheetData>
  <mergeCells count="5">
    <mergeCell ref="A56:E58"/>
    <mergeCell ref="A68:E70"/>
    <mergeCell ref="A4:E4"/>
    <mergeCell ref="A41:E41"/>
    <mergeCell ref="A42:E42"/>
  </mergeCells>
  <phoneticPr fontId="5" type="noConversion"/>
  <pageMargins left="0.75" right="0.75" top="1" bottom="1" header="0.5" footer="0.5"/>
  <pageSetup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D88FA-DFC7-430D-BC7E-20F82147573C}">
  <sheetPr>
    <tabColor theme="8" tint="-0.249977111117893"/>
  </sheetPr>
  <dimension ref="A1:H31"/>
  <sheetViews>
    <sheetView workbookViewId="0">
      <selection activeCell="H9" sqref="H9"/>
    </sheetView>
  </sheetViews>
  <sheetFormatPr defaultRowHeight="12.75"/>
  <cols>
    <col min="1" max="1" width="18.42578125" customWidth="1"/>
    <col min="2" max="2" width="14.85546875" customWidth="1"/>
    <col min="3" max="3" width="28.28515625" style="474" customWidth="1"/>
    <col min="4" max="4" width="16.7109375" customWidth="1"/>
    <col min="5" max="5" width="35.85546875" style="474" customWidth="1"/>
    <col min="6" max="6" width="22.85546875" customWidth="1"/>
    <col min="7" max="7" width="19.28515625" customWidth="1"/>
  </cols>
  <sheetData>
    <row r="1" spans="1:8" ht="12.75" customHeight="1">
      <c r="A1" s="571" t="s">
        <v>174</v>
      </c>
      <c r="B1" s="572"/>
      <c r="C1" s="572"/>
      <c r="D1" s="572"/>
      <c r="E1" s="572"/>
      <c r="F1" s="572"/>
      <c r="G1" s="465"/>
      <c r="H1" s="465"/>
    </row>
    <row r="2" spans="1:8" ht="12.75" customHeight="1">
      <c r="A2" s="573"/>
      <c r="B2" s="574"/>
      <c r="C2" s="574"/>
      <c r="D2" s="574"/>
      <c r="E2" s="574"/>
      <c r="F2" s="574"/>
      <c r="G2" s="465"/>
      <c r="H2" s="465"/>
    </row>
    <row r="3" spans="1:8" s="470" customFormat="1" ht="15">
      <c r="A3" s="469" t="s">
        <v>175</v>
      </c>
      <c r="B3" s="469" t="s">
        <v>176</v>
      </c>
      <c r="C3" s="472" t="s">
        <v>177</v>
      </c>
      <c r="D3" s="476">
        <v>0.41666666666666669</v>
      </c>
      <c r="E3" s="472" t="s">
        <v>185</v>
      </c>
      <c r="F3" s="471" t="s">
        <v>211</v>
      </c>
      <c r="G3" s="469" t="s">
        <v>178</v>
      </c>
      <c r="H3" s="475" t="s">
        <v>212</v>
      </c>
    </row>
    <row r="4" spans="1:8" ht="15">
      <c r="A4" s="466"/>
      <c r="B4" s="467"/>
      <c r="C4" s="473"/>
      <c r="D4" s="466"/>
      <c r="E4" s="473"/>
      <c r="F4" s="466"/>
      <c r="G4" s="466"/>
    </row>
    <row r="5" spans="1:8" ht="15">
      <c r="A5" s="469" t="s">
        <v>175</v>
      </c>
      <c r="B5" s="469" t="s">
        <v>176</v>
      </c>
      <c r="C5" s="472" t="s">
        <v>179</v>
      </c>
      <c r="D5" s="471" t="s">
        <v>213</v>
      </c>
      <c r="E5" s="472" t="s">
        <v>180</v>
      </c>
      <c r="F5" s="471" t="s">
        <v>211</v>
      </c>
      <c r="G5" s="469" t="s">
        <v>178</v>
      </c>
      <c r="H5" s="475" t="s">
        <v>212</v>
      </c>
    </row>
    <row r="6" spans="1:8" ht="15">
      <c r="A6" s="466"/>
      <c r="B6" s="467"/>
      <c r="C6" s="473"/>
      <c r="D6" s="466"/>
      <c r="E6" s="473"/>
      <c r="F6" s="466"/>
      <c r="G6" s="466"/>
    </row>
    <row r="7" spans="1:8" ht="15">
      <c r="A7" s="469" t="s">
        <v>181</v>
      </c>
      <c r="B7" s="469" t="s">
        <v>182</v>
      </c>
      <c r="C7" s="472" t="s">
        <v>183</v>
      </c>
      <c r="D7" s="471" t="s">
        <v>182</v>
      </c>
      <c r="E7" s="472" t="s">
        <v>184</v>
      </c>
      <c r="F7" s="471" t="s">
        <v>323</v>
      </c>
      <c r="G7" s="469" t="s">
        <v>178</v>
      </c>
      <c r="H7" s="475" t="s">
        <v>324</v>
      </c>
    </row>
    <row r="8" spans="1:8" ht="15">
      <c r="A8" s="466"/>
      <c r="B8" s="467"/>
      <c r="C8" s="473"/>
      <c r="D8" s="466"/>
      <c r="E8" s="473"/>
      <c r="F8" s="466"/>
      <c r="G8" s="466"/>
    </row>
    <row r="9" spans="1:8" ht="15">
      <c r="A9" s="469" t="s">
        <v>186</v>
      </c>
      <c r="B9" s="469" t="s">
        <v>187</v>
      </c>
      <c r="C9" s="472" t="s">
        <v>188</v>
      </c>
      <c r="D9" s="471" t="s">
        <v>187</v>
      </c>
      <c r="E9" s="472" t="s">
        <v>189</v>
      </c>
      <c r="F9" s="471" t="s">
        <v>333</v>
      </c>
      <c r="G9" s="469" t="s">
        <v>178</v>
      </c>
      <c r="H9" s="475" t="s">
        <v>334</v>
      </c>
    </row>
    <row r="10" spans="1:8" ht="15">
      <c r="A10" s="466"/>
      <c r="B10" s="467"/>
      <c r="C10" s="473"/>
      <c r="D10" s="466"/>
      <c r="E10" s="473"/>
      <c r="F10" s="466"/>
      <c r="G10" s="466"/>
    </row>
    <row r="11" spans="1:8" ht="15">
      <c r="A11" s="466"/>
      <c r="B11" s="467"/>
      <c r="C11" s="473"/>
      <c r="D11" s="466"/>
      <c r="E11" s="473"/>
      <c r="F11" s="466"/>
      <c r="G11" s="466"/>
    </row>
    <row r="12" spans="1:8" ht="15">
      <c r="A12" s="466"/>
      <c r="B12" s="467"/>
      <c r="C12" s="473"/>
      <c r="D12" s="466"/>
      <c r="E12" s="473"/>
      <c r="F12" s="466"/>
      <c r="G12" s="466"/>
    </row>
    <row r="13" spans="1:8" ht="15">
      <c r="A13" s="466"/>
      <c r="B13" s="467"/>
      <c r="C13" s="473"/>
      <c r="D13" s="466"/>
      <c r="E13" s="473"/>
      <c r="F13" s="466"/>
      <c r="G13" s="466"/>
    </row>
    <row r="14" spans="1:8" ht="15">
      <c r="A14" s="466"/>
      <c r="B14" s="467"/>
      <c r="C14" s="473"/>
      <c r="D14" s="466"/>
      <c r="E14" s="473"/>
      <c r="F14" s="466"/>
      <c r="G14" s="466"/>
    </row>
    <row r="15" spans="1:8" ht="15">
      <c r="A15" s="466"/>
      <c r="B15" s="467"/>
      <c r="C15" s="473"/>
      <c r="D15" s="466"/>
      <c r="E15" s="473"/>
      <c r="F15" s="466"/>
      <c r="G15" s="466"/>
    </row>
    <row r="16" spans="1:8" ht="15">
      <c r="A16" s="466"/>
      <c r="B16" s="467"/>
      <c r="C16" s="473"/>
      <c r="D16" s="466"/>
      <c r="E16" s="473"/>
      <c r="F16" s="466"/>
      <c r="G16" s="466"/>
    </row>
    <row r="17" spans="1:7" ht="15">
      <c r="A17" s="466"/>
      <c r="B17" s="467"/>
      <c r="C17" s="473"/>
      <c r="D17" s="466"/>
      <c r="E17" s="473"/>
      <c r="F17" s="466"/>
      <c r="G17" s="466"/>
    </row>
    <row r="18" spans="1:7" ht="15">
      <c r="A18" s="466"/>
      <c r="B18" s="467"/>
      <c r="C18" s="473"/>
      <c r="D18" s="466"/>
      <c r="E18" s="473"/>
      <c r="F18" s="466"/>
      <c r="G18" s="466"/>
    </row>
    <row r="19" spans="1:7" ht="15">
      <c r="A19" s="466"/>
      <c r="B19" s="467"/>
      <c r="C19" s="473"/>
      <c r="D19" s="466"/>
      <c r="E19" s="473"/>
      <c r="F19" s="466"/>
      <c r="G19" s="466"/>
    </row>
    <row r="20" spans="1:7" ht="15">
      <c r="A20" s="466"/>
      <c r="B20" s="467"/>
      <c r="C20" s="473"/>
      <c r="D20" s="466"/>
      <c r="E20" s="473"/>
      <c r="F20" s="466"/>
      <c r="G20" s="466"/>
    </row>
    <row r="21" spans="1:7" ht="15">
      <c r="A21" s="466"/>
      <c r="B21" s="467"/>
      <c r="C21" s="473"/>
      <c r="D21" s="466"/>
      <c r="E21" s="473"/>
      <c r="F21" s="466"/>
      <c r="G21" s="466"/>
    </row>
    <row r="22" spans="1:7" ht="15">
      <c r="A22" s="466"/>
      <c r="B22" s="467"/>
      <c r="C22" s="473"/>
      <c r="D22" s="466"/>
      <c r="E22" s="473"/>
      <c r="F22" s="466"/>
      <c r="G22" s="466"/>
    </row>
    <row r="23" spans="1:7" ht="15">
      <c r="A23" s="466"/>
      <c r="B23" s="467"/>
      <c r="C23" s="473"/>
      <c r="D23" s="466"/>
      <c r="E23" s="473"/>
      <c r="F23" s="466"/>
      <c r="G23" s="466"/>
    </row>
    <row r="24" spans="1:7" ht="15">
      <c r="A24" s="466"/>
      <c r="B24" s="467"/>
      <c r="C24" s="473"/>
      <c r="D24" s="466"/>
      <c r="E24" s="473"/>
      <c r="F24" s="466"/>
      <c r="G24" s="466"/>
    </row>
    <row r="25" spans="1:7" ht="15">
      <c r="A25" s="466"/>
      <c r="B25" s="467"/>
      <c r="C25" s="473"/>
      <c r="D25" s="466"/>
      <c r="E25" s="473"/>
      <c r="F25" s="466"/>
      <c r="G25" s="466"/>
    </row>
    <row r="26" spans="1:7" ht="15">
      <c r="A26" s="466"/>
      <c r="B26" s="467"/>
      <c r="C26" s="473"/>
      <c r="D26" s="466"/>
      <c r="E26" s="473"/>
      <c r="F26" s="466"/>
      <c r="G26" s="466"/>
    </row>
    <row r="27" spans="1:7" ht="15">
      <c r="A27" s="468"/>
      <c r="B27" s="466"/>
      <c r="C27" s="473"/>
      <c r="D27" s="466"/>
      <c r="E27" s="473"/>
      <c r="F27" s="466"/>
      <c r="G27" s="466"/>
    </row>
    <row r="28" spans="1:7">
      <c r="A28" s="484"/>
      <c r="B28" s="485"/>
      <c r="C28" s="485"/>
      <c r="D28" s="485"/>
      <c r="E28" s="485"/>
      <c r="F28" s="485"/>
    </row>
    <row r="29" spans="1:7">
      <c r="A29" s="484"/>
      <c r="B29" s="485"/>
      <c r="C29" s="485"/>
      <c r="D29" s="485"/>
      <c r="E29" s="485"/>
      <c r="F29" s="485"/>
    </row>
    <row r="30" spans="1:7">
      <c r="A30" s="484"/>
      <c r="B30" s="485"/>
      <c r="C30" s="485"/>
      <c r="D30" s="485"/>
      <c r="E30" s="485"/>
      <c r="F30" s="485"/>
    </row>
    <row r="31" spans="1:7">
      <c r="A31" s="484"/>
      <c r="B31" s="485"/>
      <c r="C31" s="485"/>
      <c r="D31" s="485"/>
      <c r="E31" s="485"/>
      <c r="F31" s="485"/>
    </row>
  </sheetData>
  <mergeCells count="2">
    <mergeCell ref="A1:F2"/>
    <mergeCell ref="A28:F3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6"/>
    <pageSetUpPr fitToPage="1"/>
  </sheetPr>
  <dimension ref="A1:U41"/>
  <sheetViews>
    <sheetView showGridLines="0" zoomScale="60" zoomScaleNormal="60" zoomScaleSheetLayoutView="50" workbookViewId="0">
      <pane xSplit="3" topLeftCell="D1" activePane="topRight" state="frozen"/>
      <selection pane="topRight" activeCell="S18" sqref="S18:T19"/>
    </sheetView>
  </sheetViews>
  <sheetFormatPr defaultColWidth="12.42578125" defaultRowHeight="19.5"/>
  <cols>
    <col min="1" max="1" width="2.42578125" style="18" bestFit="1" customWidth="1"/>
    <col min="2" max="2" width="5.42578125" style="19" customWidth="1"/>
    <col min="3" max="3" width="84" style="22" bestFit="1" customWidth="1"/>
    <col min="4" max="4" width="9.7109375" style="52" customWidth="1"/>
    <col min="5" max="5" width="16.42578125" style="22" customWidth="1"/>
    <col min="6" max="6" width="16.42578125" style="22" bestFit="1" customWidth="1"/>
    <col min="7" max="7" width="22.7109375" style="22" customWidth="1"/>
    <col min="8" max="8" width="15.7109375" style="22" customWidth="1"/>
    <col min="9" max="9" width="17" style="22" customWidth="1"/>
    <col min="10" max="10" width="18.7109375" style="50" customWidth="1"/>
    <col min="11" max="11" width="11.28515625" style="23" hidden="1" customWidth="1"/>
    <col min="12" max="12" width="9.7109375" style="23" hidden="1" customWidth="1"/>
    <col min="13" max="13" width="25.42578125" style="23" hidden="1" customWidth="1"/>
    <col min="14" max="14" width="22.28515625" style="23" hidden="1" customWidth="1"/>
    <col min="15" max="15" width="14.42578125" style="23" customWidth="1"/>
    <col min="16" max="16" width="18.28515625" style="22" bestFit="1" customWidth="1"/>
    <col min="17" max="17" width="18.42578125" style="22" bestFit="1" customWidth="1"/>
    <col min="18" max="18" width="29" style="52" bestFit="1" customWidth="1"/>
    <col min="19" max="19" width="14.42578125" style="22" customWidth="1"/>
    <col min="20" max="20" width="11.28515625" style="23" customWidth="1"/>
    <col min="21" max="21" width="1.42578125" style="22" bestFit="1" customWidth="1"/>
    <col min="22" max="16384" width="12.42578125" style="22"/>
  </cols>
  <sheetData>
    <row r="1" spans="1:20" s="15" customFormat="1" ht="36">
      <c r="A1" s="13"/>
      <c r="B1" s="14"/>
      <c r="C1" s="77" t="s">
        <v>99</v>
      </c>
      <c r="D1" s="48"/>
      <c r="E1" s="575"/>
      <c r="F1" s="16"/>
      <c r="G1" s="578"/>
      <c r="H1" s="16"/>
      <c r="I1" s="580"/>
      <c r="J1" s="53"/>
      <c r="K1" s="16"/>
      <c r="L1" s="16"/>
      <c r="M1" s="16"/>
      <c r="N1" s="16"/>
      <c r="O1" s="579"/>
      <c r="P1" s="585"/>
      <c r="Q1" s="585"/>
      <c r="R1" s="55"/>
      <c r="T1" s="16"/>
    </row>
    <row r="2" spans="1:20" s="15" customFormat="1" ht="56.25" customHeight="1">
      <c r="A2" s="13"/>
      <c r="B2" s="17"/>
      <c r="C2" s="165">
        <v>41784</v>
      </c>
      <c r="D2" s="49"/>
      <c r="E2" s="576"/>
      <c r="F2" s="112"/>
      <c r="G2" s="576"/>
      <c r="H2" s="579"/>
      <c r="I2" s="581"/>
      <c r="J2" s="53"/>
      <c r="K2" s="16"/>
      <c r="L2" s="16"/>
      <c r="M2" s="16"/>
      <c r="N2" s="16"/>
      <c r="O2" s="583"/>
      <c r="P2" s="583"/>
      <c r="Q2" s="583"/>
      <c r="R2" s="55"/>
      <c r="S2" s="578"/>
      <c r="T2" s="16"/>
    </row>
    <row r="3" spans="1:20" ht="20.25" thickBot="1">
      <c r="D3" s="50"/>
      <c r="E3" s="577"/>
      <c r="F3" s="23"/>
      <c r="G3" s="23"/>
      <c r="H3" s="577"/>
      <c r="I3" s="582"/>
      <c r="O3" s="584"/>
      <c r="P3" s="584"/>
      <c r="Q3" s="584"/>
      <c r="S3" s="576"/>
    </row>
    <row r="4" spans="1:20" s="25" customFormat="1" ht="41.25" thickTop="1" thickBot="1">
      <c r="A4" s="24"/>
      <c r="B4" s="24"/>
      <c r="C4" s="194" t="s">
        <v>85</v>
      </c>
      <c r="D4" s="116" t="s">
        <v>19</v>
      </c>
      <c r="E4" s="101" t="s">
        <v>20</v>
      </c>
      <c r="F4" s="101" t="s">
        <v>21</v>
      </c>
      <c r="G4" s="195" t="s">
        <v>14</v>
      </c>
      <c r="H4" s="101" t="s">
        <v>22</v>
      </c>
      <c r="I4" s="101" t="s">
        <v>23</v>
      </c>
      <c r="J4" s="116" t="s">
        <v>24</v>
      </c>
      <c r="K4" s="101" t="s">
        <v>25</v>
      </c>
      <c r="L4" s="101" t="s">
        <v>26</v>
      </c>
      <c r="M4" s="101" t="s">
        <v>27</v>
      </c>
      <c r="N4" s="101" t="s">
        <v>28</v>
      </c>
      <c r="O4" s="101" t="s">
        <v>29</v>
      </c>
      <c r="P4" s="101" t="s">
        <v>30</v>
      </c>
      <c r="Q4" s="101" t="s">
        <v>31</v>
      </c>
      <c r="R4" s="196" t="s">
        <v>32</v>
      </c>
      <c r="S4" s="195" t="s">
        <v>15</v>
      </c>
      <c r="T4" s="197" t="s">
        <v>33</v>
      </c>
    </row>
    <row r="5" spans="1:20" s="27" customFormat="1" ht="32.25" thickTop="1">
      <c r="A5" s="26"/>
      <c r="B5" s="28"/>
      <c r="C5" s="238"/>
      <c r="D5" s="190">
        <f t="shared" ref="D5:D15" si="0">(E5+H5+I5+T5)</f>
        <v>0</v>
      </c>
      <c r="E5" s="243">
        <v>0</v>
      </c>
      <c r="F5" s="243">
        <v>0</v>
      </c>
      <c r="G5" s="243">
        <v>0</v>
      </c>
      <c r="H5" s="243">
        <v>0</v>
      </c>
      <c r="I5" s="243">
        <v>0</v>
      </c>
      <c r="J5" s="182" t="e">
        <f t="shared" ref="J5:J15" si="1">(H5+I5)/D5</f>
        <v>#DIV/0!</v>
      </c>
      <c r="K5" s="183"/>
      <c r="L5" s="184"/>
      <c r="M5" s="183"/>
      <c r="N5" s="185"/>
      <c r="O5" s="245">
        <v>0</v>
      </c>
      <c r="P5" s="246">
        <v>0</v>
      </c>
      <c r="Q5" s="246">
        <v>0</v>
      </c>
      <c r="R5" s="182" t="e">
        <f t="shared" ref="R5:R15" si="2">(Q5-P5)/P5</f>
        <v>#DIV/0!</v>
      </c>
      <c r="S5" s="243">
        <v>0</v>
      </c>
      <c r="T5" s="249">
        <v>0</v>
      </c>
    </row>
    <row r="6" spans="1:20" s="27" customFormat="1" ht="31.5">
      <c r="A6" s="26"/>
      <c r="B6" s="28"/>
      <c r="C6" s="238"/>
      <c r="D6" s="190">
        <f t="shared" si="0"/>
        <v>0</v>
      </c>
      <c r="E6" s="243">
        <v>0</v>
      </c>
      <c r="F6" s="243">
        <v>0</v>
      </c>
      <c r="G6" s="243">
        <v>0</v>
      </c>
      <c r="H6" s="243">
        <v>0</v>
      </c>
      <c r="I6" s="243">
        <v>0</v>
      </c>
      <c r="J6" s="182" t="e">
        <f t="shared" si="1"/>
        <v>#DIV/0!</v>
      </c>
      <c r="K6" s="183"/>
      <c r="L6" s="184"/>
      <c r="M6" s="183"/>
      <c r="N6" s="185"/>
      <c r="O6" s="245">
        <v>0</v>
      </c>
      <c r="P6" s="246">
        <v>0</v>
      </c>
      <c r="Q6" s="246">
        <v>0</v>
      </c>
      <c r="R6" s="182" t="e">
        <f t="shared" si="2"/>
        <v>#DIV/0!</v>
      </c>
      <c r="S6" s="243">
        <v>0</v>
      </c>
      <c r="T6" s="249">
        <v>0</v>
      </c>
    </row>
    <row r="7" spans="1:20" s="27" customFormat="1" ht="31.5">
      <c r="A7" s="26"/>
      <c r="B7" s="28"/>
      <c r="C7" s="238"/>
      <c r="D7" s="190">
        <f t="shared" si="0"/>
        <v>0</v>
      </c>
      <c r="E7" s="243">
        <v>0</v>
      </c>
      <c r="F7" s="243">
        <v>0</v>
      </c>
      <c r="G7" s="243">
        <v>0</v>
      </c>
      <c r="H7" s="243">
        <v>0</v>
      </c>
      <c r="I7" s="243">
        <v>0</v>
      </c>
      <c r="J7" s="182" t="e">
        <f t="shared" si="1"/>
        <v>#DIV/0!</v>
      </c>
      <c r="K7" s="183"/>
      <c r="L7" s="184"/>
      <c r="M7" s="183"/>
      <c r="N7" s="185"/>
      <c r="O7" s="245">
        <v>0</v>
      </c>
      <c r="P7" s="246">
        <v>0</v>
      </c>
      <c r="Q7" s="246">
        <v>0</v>
      </c>
      <c r="R7" s="182" t="e">
        <f t="shared" si="2"/>
        <v>#DIV/0!</v>
      </c>
      <c r="S7" s="243">
        <v>0</v>
      </c>
      <c r="T7" s="249">
        <v>0</v>
      </c>
    </row>
    <row r="8" spans="1:20" s="27" customFormat="1" ht="31.5">
      <c r="A8" s="26"/>
      <c r="B8" s="28"/>
      <c r="C8" s="238"/>
      <c r="D8" s="190">
        <f t="shared" si="0"/>
        <v>0</v>
      </c>
      <c r="E8" s="243">
        <v>0</v>
      </c>
      <c r="F8" s="243">
        <v>0</v>
      </c>
      <c r="G8" s="243">
        <v>0</v>
      </c>
      <c r="H8" s="243">
        <v>0</v>
      </c>
      <c r="I8" s="243">
        <v>0</v>
      </c>
      <c r="J8" s="182" t="e">
        <f t="shared" si="1"/>
        <v>#DIV/0!</v>
      </c>
      <c r="K8" s="183"/>
      <c r="L8" s="184"/>
      <c r="M8" s="183"/>
      <c r="N8" s="185"/>
      <c r="O8" s="245">
        <v>0</v>
      </c>
      <c r="P8" s="246">
        <v>0</v>
      </c>
      <c r="Q8" s="246">
        <v>0</v>
      </c>
      <c r="R8" s="182" t="e">
        <f t="shared" si="2"/>
        <v>#DIV/0!</v>
      </c>
      <c r="S8" s="243">
        <v>0</v>
      </c>
      <c r="T8" s="249">
        <v>0</v>
      </c>
    </row>
    <row r="9" spans="1:20" s="27" customFormat="1" ht="31.5">
      <c r="A9" s="26"/>
      <c r="B9" s="28"/>
      <c r="C9" s="238"/>
      <c r="D9" s="190">
        <f t="shared" si="0"/>
        <v>0</v>
      </c>
      <c r="E9" s="243">
        <v>0</v>
      </c>
      <c r="F9" s="243">
        <v>0</v>
      </c>
      <c r="G9" s="243">
        <v>0</v>
      </c>
      <c r="H9" s="243">
        <v>0</v>
      </c>
      <c r="I9" s="243">
        <v>0</v>
      </c>
      <c r="J9" s="182" t="e">
        <f t="shared" si="1"/>
        <v>#DIV/0!</v>
      </c>
      <c r="K9" s="183"/>
      <c r="L9" s="184"/>
      <c r="M9" s="183"/>
      <c r="N9" s="185"/>
      <c r="O9" s="245">
        <v>0</v>
      </c>
      <c r="P9" s="246">
        <v>0</v>
      </c>
      <c r="Q9" s="246">
        <v>0</v>
      </c>
      <c r="R9" s="182" t="e">
        <f t="shared" si="2"/>
        <v>#DIV/0!</v>
      </c>
      <c r="S9" s="243">
        <v>0</v>
      </c>
      <c r="T9" s="249">
        <v>0</v>
      </c>
    </row>
    <row r="10" spans="1:20" s="27" customFormat="1" ht="31.5">
      <c r="A10" s="26"/>
      <c r="B10" s="28"/>
      <c r="C10" s="239"/>
      <c r="D10" s="190">
        <f t="shared" si="0"/>
        <v>0</v>
      </c>
      <c r="E10" s="243">
        <v>0</v>
      </c>
      <c r="F10" s="243">
        <v>0</v>
      </c>
      <c r="G10" s="243">
        <v>0</v>
      </c>
      <c r="H10" s="243">
        <v>0</v>
      </c>
      <c r="I10" s="243">
        <v>0</v>
      </c>
      <c r="J10" s="182" t="e">
        <f t="shared" si="1"/>
        <v>#DIV/0!</v>
      </c>
      <c r="K10" s="183"/>
      <c r="L10" s="184"/>
      <c r="M10" s="183"/>
      <c r="N10" s="185"/>
      <c r="O10" s="245">
        <v>0</v>
      </c>
      <c r="P10" s="246">
        <v>0</v>
      </c>
      <c r="Q10" s="246">
        <v>0</v>
      </c>
      <c r="R10" s="182" t="e">
        <f t="shared" si="2"/>
        <v>#DIV/0!</v>
      </c>
      <c r="S10" s="243">
        <v>0</v>
      </c>
      <c r="T10" s="250">
        <v>0</v>
      </c>
    </row>
    <row r="11" spans="1:20" s="27" customFormat="1" ht="31.5">
      <c r="A11" s="26"/>
      <c r="B11" s="28"/>
      <c r="C11" s="239"/>
      <c r="D11" s="190">
        <f t="shared" si="0"/>
        <v>0</v>
      </c>
      <c r="E11" s="243">
        <v>0</v>
      </c>
      <c r="F11" s="243">
        <v>0</v>
      </c>
      <c r="G11" s="243">
        <v>0</v>
      </c>
      <c r="H11" s="243">
        <v>0</v>
      </c>
      <c r="I11" s="243">
        <v>0</v>
      </c>
      <c r="J11" s="182" t="e">
        <f t="shared" si="1"/>
        <v>#DIV/0!</v>
      </c>
      <c r="K11" s="183"/>
      <c r="L11" s="184"/>
      <c r="M11" s="183"/>
      <c r="N11" s="185"/>
      <c r="O11" s="245">
        <v>0</v>
      </c>
      <c r="P11" s="246">
        <v>0</v>
      </c>
      <c r="Q11" s="246">
        <v>0</v>
      </c>
      <c r="R11" s="182" t="e">
        <f t="shared" si="2"/>
        <v>#DIV/0!</v>
      </c>
      <c r="S11" s="243">
        <v>0</v>
      </c>
      <c r="T11" s="249">
        <v>0</v>
      </c>
    </row>
    <row r="12" spans="1:20" s="27" customFormat="1" ht="31.5">
      <c r="A12" s="26"/>
      <c r="B12" s="28"/>
      <c r="C12" s="239"/>
      <c r="D12" s="190">
        <f t="shared" si="0"/>
        <v>0</v>
      </c>
      <c r="E12" s="243">
        <v>0</v>
      </c>
      <c r="F12" s="243">
        <v>0</v>
      </c>
      <c r="G12" s="243">
        <v>0</v>
      </c>
      <c r="H12" s="243">
        <v>0</v>
      </c>
      <c r="I12" s="243">
        <v>0</v>
      </c>
      <c r="J12" s="182" t="e">
        <f t="shared" si="1"/>
        <v>#DIV/0!</v>
      </c>
      <c r="K12" s="183"/>
      <c r="L12" s="184"/>
      <c r="M12" s="183"/>
      <c r="N12" s="185"/>
      <c r="O12" s="245">
        <v>0</v>
      </c>
      <c r="P12" s="246">
        <v>0</v>
      </c>
      <c r="Q12" s="246">
        <v>0</v>
      </c>
      <c r="R12" s="182" t="e">
        <f t="shared" si="2"/>
        <v>#DIV/0!</v>
      </c>
      <c r="S12" s="243">
        <v>0</v>
      </c>
      <c r="T12" s="249">
        <v>0</v>
      </c>
    </row>
    <row r="13" spans="1:20" s="27" customFormat="1" ht="31.5">
      <c r="A13" s="26"/>
      <c r="B13" s="28"/>
      <c r="C13" s="239"/>
      <c r="D13" s="190">
        <f t="shared" si="0"/>
        <v>0</v>
      </c>
      <c r="E13" s="243">
        <v>0</v>
      </c>
      <c r="F13" s="243">
        <v>0</v>
      </c>
      <c r="G13" s="243">
        <v>0</v>
      </c>
      <c r="H13" s="243">
        <v>0</v>
      </c>
      <c r="I13" s="243">
        <v>0</v>
      </c>
      <c r="J13" s="182" t="e">
        <f t="shared" si="1"/>
        <v>#DIV/0!</v>
      </c>
      <c r="K13" s="183"/>
      <c r="L13" s="184"/>
      <c r="M13" s="183"/>
      <c r="N13" s="185"/>
      <c r="O13" s="245">
        <v>0</v>
      </c>
      <c r="P13" s="246">
        <v>0</v>
      </c>
      <c r="Q13" s="246">
        <v>0</v>
      </c>
      <c r="R13" s="182" t="e">
        <f t="shared" si="2"/>
        <v>#DIV/0!</v>
      </c>
      <c r="S13" s="243">
        <v>0</v>
      </c>
      <c r="T13" s="249">
        <v>0</v>
      </c>
    </row>
    <row r="14" spans="1:20" s="27" customFormat="1" ht="32.25" thickBot="1">
      <c r="A14" s="26"/>
      <c r="B14" s="28"/>
      <c r="C14" s="240"/>
      <c r="D14" s="191">
        <f t="shared" si="0"/>
        <v>0</v>
      </c>
      <c r="E14" s="244"/>
      <c r="F14" s="244"/>
      <c r="G14" s="244"/>
      <c r="H14" s="244"/>
      <c r="I14" s="244"/>
      <c r="J14" s="186" t="e">
        <f t="shared" si="1"/>
        <v>#DIV/0!</v>
      </c>
      <c r="K14" s="187"/>
      <c r="L14" s="188"/>
      <c r="M14" s="187"/>
      <c r="N14" s="189"/>
      <c r="O14" s="247"/>
      <c r="P14" s="248"/>
      <c r="Q14" s="248"/>
      <c r="R14" s="186" t="e">
        <f t="shared" si="2"/>
        <v>#DIV/0!</v>
      </c>
      <c r="S14" s="244"/>
      <c r="T14" s="251"/>
    </row>
    <row r="15" spans="1:20" s="27" customFormat="1" ht="39" thickTop="1">
      <c r="A15" s="26"/>
      <c r="B15" s="28"/>
      <c r="C15" s="31" t="s">
        <v>34</v>
      </c>
      <c r="D15" s="146">
        <f t="shared" si="0"/>
        <v>0</v>
      </c>
      <c r="E15" s="147">
        <f>SUM(E5:E14)</f>
        <v>0</v>
      </c>
      <c r="F15" s="147">
        <f>SUM(F5:F14)</f>
        <v>0</v>
      </c>
      <c r="G15" s="147">
        <f>SUM(G5:G14)</f>
        <v>0</v>
      </c>
      <c r="H15" s="153">
        <f>SUM(H5:H14)</f>
        <v>0</v>
      </c>
      <c r="I15" s="147">
        <f>SUM(I5:I14)</f>
        <v>0</v>
      </c>
      <c r="J15" s="160" t="e">
        <f t="shared" si="1"/>
        <v>#DIV/0!</v>
      </c>
      <c r="K15" s="148" t="e">
        <f>(P15-L15)</f>
        <v>#REF!</v>
      </c>
      <c r="L15" s="149" t="e">
        <f>SUM(#REF!)</f>
        <v>#REF!</v>
      </c>
      <c r="M15" s="149" t="e">
        <f>SUM(#REF!)</f>
        <v>#REF!</v>
      </c>
      <c r="N15" s="149" t="e">
        <f>SUM(#REF!)</f>
        <v>#REF!</v>
      </c>
      <c r="O15" s="149">
        <f>SUM(O5:O14)</f>
        <v>0</v>
      </c>
      <c r="P15" s="149">
        <f>SUM(P5:P14)</f>
        <v>0</v>
      </c>
      <c r="Q15" s="149">
        <f>SUM(Q5:Q14)</f>
        <v>0</v>
      </c>
      <c r="R15" s="150" t="e">
        <f t="shared" si="2"/>
        <v>#DIV/0!</v>
      </c>
      <c r="S15" s="149">
        <f>SUM(S5:S14)</f>
        <v>0</v>
      </c>
      <c r="T15" s="151">
        <f>SUM(T5:T14)</f>
        <v>0</v>
      </c>
    </row>
    <row r="16" spans="1:20" s="27" customFormat="1" ht="32.25" thickBot="1">
      <c r="A16" s="26"/>
      <c r="B16" s="28"/>
      <c r="C16" s="35"/>
      <c r="D16" s="120"/>
      <c r="E16" s="36"/>
      <c r="F16" s="36"/>
      <c r="G16" s="36"/>
      <c r="H16" s="36"/>
      <c r="I16" s="36"/>
      <c r="J16" s="115"/>
      <c r="K16" s="37"/>
      <c r="L16" s="37"/>
      <c r="M16" s="37"/>
      <c r="N16" s="37"/>
      <c r="O16" s="37"/>
      <c r="P16" s="37"/>
      <c r="Q16" s="37"/>
      <c r="R16" s="56"/>
      <c r="S16" s="37"/>
      <c r="T16" s="38"/>
    </row>
    <row r="17" spans="1:21" s="27" customFormat="1" ht="41.25" thickTop="1" thickBot="1">
      <c r="A17" s="26"/>
      <c r="B17" s="28"/>
      <c r="C17" s="193" t="s">
        <v>84</v>
      </c>
      <c r="D17" s="116" t="s">
        <v>19</v>
      </c>
      <c r="E17" s="98" t="s">
        <v>20</v>
      </c>
      <c r="F17" s="98" t="s">
        <v>21</v>
      </c>
      <c r="G17" s="98" t="s">
        <v>14</v>
      </c>
      <c r="H17" s="98" t="s">
        <v>22</v>
      </c>
      <c r="I17" s="98" t="s">
        <v>23</v>
      </c>
      <c r="J17" s="116" t="s">
        <v>24</v>
      </c>
      <c r="K17" s="98" t="s">
        <v>25</v>
      </c>
      <c r="L17" s="98" t="s">
        <v>26</v>
      </c>
      <c r="M17" s="101" t="s">
        <v>27</v>
      </c>
      <c r="N17" s="98" t="s">
        <v>28</v>
      </c>
      <c r="O17" s="98" t="s">
        <v>29</v>
      </c>
      <c r="P17" s="98" t="s">
        <v>30</v>
      </c>
      <c r="Q17" s="98" t="s">
        <v>31</v>
      </c>
      <c r="R17" s="102" t="s">
        <v>32</v>
      </c>
      <c r="S17" s="103" t="s">
        <v>15</v>
      </c>
      <c r="T17" s="104" t="s">
        <v>33</v>
      </c>
    </row>
    <row r="18" spans="1:21" s="27" customFormat="1" ht="32.25" thickTop="1">
      <c r="A18" s="26"/>
      <c r="B18" s="28"/>
      <c r="C18" s="241"/>
      <c r="D18" s="198">
        <f>(E18+H18+I18+T18)</f>
        <v>0</v>
      </c>
      <c r="E18" s="252"/>
      <c r="F18" s="252"/>
      <c r="G18" s="252"/>
      <c r="H18" s="252"/>
      <c r="I18" s="252"/>
      <c r="J18" s="199" t="e">
        <f>(H18+I18)/D18</f>
        <v>#DIV/0!</v>
      </c>
      <c r="K18" s="200">
        <f>(P18-L18)</f>
        <v>0</v>
      </c>
      <c r="L18" s="201"/>
      <c r="M18" s="200">
        <f>P18-(N18+O18)</f>
        <v>0</v>
      </c>
      <c r="N18" s="201"/>
      <c r="O18" s="252"/>
      <c r="P18" s="252"/>
      <c r="Q18" s="252"/>
      <c r="R18" s="199" t="e">
        <f>(Q18-P18)/P18</f>
        <v>#DIV/0!</v>
      </c>
      <c r="S18" s="252"/>
      <c r="T18" s="254">
        <v>0</v>
      </c>
    </row>
    <row r="19" spans="1:21" s="27" customFormat="1" ht="32.25" thickBot="1">
      <c r="A19" s="26"/>
      <c r="B19" s="28"/>
      <c r="C19" s="242"/>
      <c r="D19" s="192">
        <f>(E19+H19+I19+T19)</f>
        <v>0</v>
      </c>
      <c r="E19" s="253"/>
      <c r="F19" s="253"/>
      <c r="G19" s="253"/>
      <c r="H19" s="253"/>
      <c r="I19" s="253"/>
      <c r="J19" s="157" t="e">
        <f>(H19+I19)/D19</f>
        <v>#DIV/0!</v>
      </c>
      <c r="K19" s="158">
        <f>(P19-L19)</f>
        <v>0</v>
      </c>
      <c r="L19" s="159"/>
      <c r="M19" s="158">
        <f>P19-(N19+O19)</f>
        <v>0</v>
      </c>
      <c r="N19" s="159"/>
      <c r="O19" s="253"/>
      <c r="P19" s="253"/>
      <c r="Q19" s="253"/>
      <c r="R19" s="157" t="e">
        <f>(Q19-P19)/P19</f>
        <v>#DIV/0!</v>
      </c>
      <c r="S19" s="253"/>
      <c r="T19" s="255"/>
    </row>
    <row r="20" spans="1:21" s="27" customFormat="1" ht="39" thickTop="1">
      <c r="A20" s="26"/>
      <c r="B20" s="28"/>
      <c r="C20" s="155" t="s">
        <v>34</v>
      </c>
      <c r="D20" s="127">
        <f>(E20+H20+I20+T20)</f>
        <v>0</v>
      </c>
      <c r="E20" s="156">
        <f>SUM(E18:E19)</f>
        <v>0</v>
      </c>
      <c r="F20" s="156">
        <f>SUM(F18:F19)</f>
        <v>0</v>
      </c>
      <c r="G20" s="156">
        <f>SUM(G18:G19)</f>
        <v>0</v>
      </c>
      <c r="H20" s="156">
        <f>SUM(H18:H19)</f>
        <v>0</v>
      </c>
      <c r="I20" s="156">
        <f>SUM(I18:I19)</f>
        <v>0</v>
      </c>
      <c r="J20" s="128" t="e">
        <f>(H20+I20)/D20</f>
        <v>#DIV/0!</v>
      </c>
      <c r="K20" s="126">
        <f>(P20-L20)</f>
        <v>0</v>
      </c>
      <c r="L20" s="156">
        <f>SUM(L19:L19)</f>
        <v>0</v>
      </c>
      <c r="M20" s="126">
        <f>P20-(N20+O20)</f>
        <v>0</v>
      </c>
      <c r="N20" s="156">
        <f>SUM(N19:N19)</f>
        <v>0</v>
      </c>
      <c r="O20" s="156">
        <f>SUM(O18:O19)</f>
        <v>0</v>
      </c>
      <c r="P20" s="125">
        <f>SUM(P18:P19)</f>
        <v>0</v>
      </c>
      <c r="Q20" s="125">
        <f>SUM(Q18:Q19)</f>
        <v>0</v>
      </c>
      <c r="R20" s="128" t="e">
        <f>(Q20-P20)/P20</f>
        <v>#DIV/0!</v>
      </c>
      <c r="S20" s="125">
        <f>SUM(S18:S19)</f>
        <v>0</v>
      </c>
      <c r="T20" s="152">
        <f>SUM(T18:T19)</f>
        <v>0</v>
      </c>
    </row>
    <row r="21" spans="1:21" s="27" customFormat="1" ht="39" thickBot="1">
      <c r="A21" s="26"/>
      <c r="B21" s="28"/>
      <c r="C21" s="31"/>
      <c r="D21" s="127"/>
      <c r="E21" s="125"/>
      <c r="F21" s="125"/>
      <c r="G21" s="125"/>
      <c r="H21" s="125"/>
      <c r="I21" s="125"/>
      <c r="J21" s="128"/>
      <c r="K21" s="126"/>
      <c r="L21" s="125"/>
      <c r="M21" s="126"/>
      <c r="N21" s="125"/>
      <c r="O21" s="125"/>
      <c r="P21" s="125"/>
      <c r="Q21" s="125"/>
      <c r="R21" s="128"/>
      <c r="S21" s="125"/>
      <c r="T21" s="152"/>
    </row>
    <row r="22" spans="1:21" s="27" customFormat="1" ht="42.75" thickTop="1" thickBot="1">
      <c r="A22" s="26"/>
      <c r="B22" s="28"/>
      <c r="C22" s="180" t="s">
        <v>34</v>
      </c>
      <c r="D22" s="122">
        <f t="shared" ref="D22:I22" si="3">SUM(D15,D20,D21,)</f>
        <v>0</v>
      </c>
      <c r="E22" s="178">
        <f t="shared" si="3"/>
        <v>0</v>
      </c>
      <c r="F22" s="178">
        <f t="shared" si="3"/>
        <v>0</v>
      </c>
      <c r="G22" s="178">
        <f t="shared" si="3"/>
        <v>0</v>
      </c>
      <c r="H22" s="178">
        <f t="shared" si="3"/>
        <v>0</v>
      </c>
      <c r="I22" s="178">
        <f t="shared" si="3"/>
        <v>0</v>
      </c>
      <c r="J22" s="123" t="e">
        <f>(H22+I22)/D22</f>
        <v>#DIV/0!</v>
      </c>
      <c r="K22" s="121" t="e">
        <f t="shared" ref="K22:Q22" si="4">SUM(K15,K20,K21,)</f>
        <v>#REF!</v>
      </c>
      <c r="L22" s="121" t="e">
        <f t="shared" si="4"/>
        <v>#REF!</v>
      </c>
      <c r="M22" s="121" t="e">
        <f t="shared" si="4"/>
        <v>#REF!</v>
      </c>
      <c r="N22" s="121" t="e">
        <f t="shared" si="4"/>
        <v>#REF!</v>
      </c>
      <c r="O22" s="178">
        <f t="shared" si="4"/>
        <v>0</v>
      </c>
      <c r="P22" s="178">
        <f t="shared" si="4"/>
        <v>0</v>
      </c>
      <c r="Q22" s="178">
        <f t="shared" si="4"/>
        <v>0</v>
      </c>
      <c r="R22" s="124" t="e">
        <f>(Q22-P22)/P22</f>
        <v>#DIV/0!</v>
      </c>
      <c r="S22" s="178">
        <f>SUM(S15,S20,S21,)</f>
        <v>0</v>
      </c>
      <c r="T22" s="179">
        <f>SUM(T15,T20,T21,)</f>
        <v>0</v>
      </c>
    </row>
    <row r="23" spans="1:21" s="27" customFormat="1" ht="32.25" thickTop="1">
      <c r="A23" s="26"/>
      <c r="B23" s="28"/>
      <c r="C23" s="21"/>
      <c r="D23" s="51"/>
      <c r="E23" s="21"/>
      <c r="F23" s="21"/>
      <c r="G23" s="21"/>
      <c r="H23" s="21"/>
      <c r="I23" s="21"/>
      <c r="J23" s="54"/>
      <c r="K23" s="20"/>
      <c r="L23" s="20"/>
      <c r="M23" s="20"/>
      <c r="N23" s="20"/>
      <c r="O23" s="20"/>
      <c r="P23" s="21"/>
      <c r="Q23" s="21"/>
      <c r="R23" s="51"/>
      <c r="S23" s="21"/>
      <c r="T23" s="20"/>
    </row>
    <row r="24" spans="1:21" s="27" customFormat="1" ht="31.5">
      <c r="A24" s="26"/>
      <c r="B24" s="28"/>
      <c r="C24" s="21"/>
      <c r="D24" s="51"/>
      <c r="E24" s="21"/>
      <c r="F24" s="21"/>
      <c r="G24" s="21"/>
      <c r="H24" s="21"/>
      <c r="I24" s="21"/>
      <c r="J24" s="54"/>
      <c r="K24" s="20"/>
      <c r="L24" s="20"/>
      <c r="M24" s="20"/>
      <c r="N24" s="20"/>
      <c r="O24" s="20"/>
      <c r="P24" s="21"/>
      <c r="Q24" s="21"/>
      <c r="R24" s="51"/>
      <c r="S24" s="21"/>
      <c r="T24" s="20"/>
    </row>
    <row r="25" spans="1:21" s="32" customFormat="1" ht="39">
      <c r="A25" s="29"/>
      <c r="B25" s="30"/>
      <c r="C25" s="21"/>
      <c r="D25" s="51"/>
      <c r="E25" s="21"/>
      <c r="F25" s="21"/>
      <c r="G25" s="21"/>
      <c r="H25" s="21"/>
      <c r="I25" s="21"/>
      <c r="J25" s="54"/>
      <c r="K25" s="20"/>
      <c r="L25" s="20"/>
      <c r="M25" s="20"/>
      <c r="N25" s="20"/>
      <c r="O25" s="20"/>
      <c r="P25" s="21"/>
      <c r="Q25" s="21"/>
      <c r="R25" s="51"/>
      <c r="S25" s="21"/>
      <c r="T25" s="20"/>
    </row>
    <row r="26" spans="1:21" s="39" customFormat="1" ht="21">
      <c r="A26" s="33"/>
      <c r="B26" s="34"/>
      <c r="C26" s="21"/>
      <c r="D26" s="177"/>
      <c r="E26" s="21"/>
      <c r="F26" s="21"/>
      <c r="G26" s="21"/>
      <c r="H26" s="21"/>
      <c r="I26" s="21"/>
      <c r="J26" s="54"/>
      <c r="K26" s="20"/>
      <c r="L26" s="20"/>
      <c r="M26" s="20"/>
      <c r="N26" s="20"/>
      <c r="O26" s="20"/>
      <c r="P26" s="21"/>
      <c r="Q26" s="21"/>
      <c r="R26" s="51"/>
      <c r="S26" s="21"/>
      <c r="T26" s="20"/>
    </row>
    <row r="27" spans="1:21" s="25" customFormat="1" ht="29.25">
      <c r="A27" s="24"/>
      <c r="B27" s="24"/>
      <c r="C27" s="21"/>
      <c r="D27" s="51"/>
      <c r="E27" s="21"/>
      <c r="F27" s="21"/>
      <c r="G27" s="21"/>
      <c r="H27" s="21"/>
      <c r="I27" s="21"/>
      <c r="J27" s="54"/>
      <c r="K27" s="20"/>
      <c r="L27" s="20"/>
      <c r="M27" s="20"/>
      <c r="N27" s="20"/>
      <c r="O27" s="20"/>
      <c r="P27" s="21"/>
      <c r="Q27" s="21"/>
      <c r="R27" s="51"/>
      <c r="S27" s="21"/>
      <c r="T27" s="20"/>
    </row>
    <row r="28" spans="1:21" s="40" customFormat="1" ht="30.75">
      <c r="A28" s="26"/>
      <c r="B28" s="28"/>
      <c r="C28" s="21"/>
      <c r="D28" s="51"/>
      <c r="E28" s="21"/>
      <c r="F28" s="21"/>
      <c r="G28" s="21"/>
      <c r="H28" s="21"/>
      <c r="I28" s="21"/>
      <c r="J28" s="54"/>
      <c r="K28" s="20"/>
      <c r="L28" s="20"/>
      <c r="M28" s="20"/>
      <c r="N28" s="20"/>
      <c r="O28" s="20"/>
      <c r="P28" s="21"/>
      <c r="Q28" s="21"/>
      <c r="R28" s="51"/>
      <c r="S28" s="21"/>
      <c r="T28" s="20"/>
    </row>
    <row r="29" spans="1:21" s="40" customFormat="1" ht="30.75">
      <c r="A29" s="26"/>
      <c r="B29" s="28"/>
      <c r="C29" s="21"/>
      <c r="D29" s="51"/>
      <c r="E29" s="21"/>
      <c r="F29" s="21"/>
      <c r="G29" s="21"/>
      <c r="H29" s="21"/>
      <c r="I29" s="21"/>
      <c r="J29" s="54"/>
      <c r="K29" s="20"/>
      <c r="L29" s="20"/>
      <c r="M29" s="20"/>
      <c r="N29" s="20"/>
      <c r="O29" s="20"/>
      <c r="P29" s="21"/>
      <c r="Q29" s="21"/>
      <c r="R29" s="51"/>
      <c r="S29" s="21"/>
      <c r="T29" s="20"/>
    </row>
    <row r="30" spans="1:21" s="43" customFormat="1" ht="38.25">
      <c r="A30" s="41"/>
      <c r="B30" s="42"/>
      <c r="C30" s="21"/>
      <c r="D30" s="51"/>
      <c r="E30" s="21"/>
      <c r="F30" s="21"/>
      <c r="G30" s="21"/>
      <c r="H30" s="21"/>
      <c r="I30" s="21"/>
      <c r="J30" s="54"/>
      <c r="K30" s="20"/>
      <c r="L30" s="20"/>
      <c r="M30" s="20"/>
      <c r="N30" s="20"/>
      <c r="O30" s="20"/>
      <c r="P30" s="21"/>
      <c r="Q30" s="21"/>
      <c r="R30" s="51"/>
      <c r="S30" s="21"/>
      <c r="T30" s="20"/>
      <c r="U30" s="129"/>
    </row>
    <row r="31" spans="1:21" s="32" customFormat="1" ht="39">
      <c r="A31" s="29"/>
      <c r="B31" s="30"/>
      <c r="C31" s="21"/>
      <c r="D31" s="51"/>
      <c r="E31" s="21"/>
      <c r="F31" s="21"/>
      <c r="G31" s="21"/>
      <c r="H31" s="21"/>
      <c r="I31" s="21"/>
      <c r="J31" s="54"/>
      <c r="K31" s="20"/>
      <c r="L31" s="20"/>
      <c r="M31" s="20"/>
      <c r="N31" s="20"/>
      <c r="O31" s="20"/>
      <c r="P31" s="21"/>
      <c r="Q31" s="21"/>
      <c r="R31" s="51"/>
      <c r="S31" s="21"/>
      <c r="T31" s="20"/>
    </row>
    <row r="32" spans="1:21" s="45" customFormat="1" ht="41.25">
      <c r="A32" s="44"/>
      <c r="B32" s="44"/>
      <c r="C32" s="22"/>
      <c r="D32" s="52"/>
      <c r="E32" s="22"/>
      <c r="F32" s="22"/>
      <c r="G32" s="22"/>
      <c r="H32" s="22"/>
      <c r="I32" s="22"/>
      <c r="J32" s="50"/>
      <c r="K32" s="23"/>
      <c r="L32" s="23"/>
      <c r="M32" s="23"/>
      <c r="N32" s="23"/>
      <c r="O32" s="23"/>
      <c r="P32" s="22"/>
      <c r="Q32" s="22"/>
      <c r="R32" s="52"/>
      <c r="S32" s="22"/>
      <c r="T32" s="23"/>
    </row>
    <row r="33" spans="1:20" s="21" customFormat="1" ht="21">
      <c r="A33" s="46"/>
      <c r="B33" s="47"/>
      <c r="C33" s="22"/>
      <c r="D33" s="52"/>
      <c r="E33" s="22"/>
      <c r="F33" s="22"/>
      <c r="G33" s="22"/>
      <c r="H33" s="22"/>
      <c r="I33" s="22"/>
      <c r="J33" s="50"/>
      <c r="K33" s="23"/>
      <c r="L33" s="23"/>
      <c r="M33" s="23"/>
      <c r="N33" s="23"/>
      <c r="O33" s="23"/>
      <c r="P33" s="22"/>
      <c r="Q33" s="22"/>
      <c r="R33" s="52"/>
      <c r="S33" s="22"/>
      <c r="T33" s="23"/>
    </row>
    <row r="34" spans="1:20" s="21" customFormat="1" ht="21">
      <c r="A34" s="46"/>
      <c r="B34" s="47"/>
      <c r="C34" s="22"/>
      <c r="D34" s="52"/>
      <c r="E34" s="22"/>
      <c r="F34" s="22"/>
      <c r="G34" s="22"/>
      <c r="H34" s="22"/>
      <c r="I34" s="22"/>
      <c r="J34" s="50"/>
      <c r="K34" s="23"/>
      <c r="L34" s="23"/>
      <c r="M34" s="23"/>
      <c r="N34" s="23"/>
      <c r="O34" s="23"/>
      <c r="P34" s="22"/>
      <c r="Q34" s="22"/>
      <c r="R34" s="52"/>
      <c r="S34" s="22"/>
      <c r="T34" s="23"/>
    </row>
    <row r="35" spans="1:20" s="21" customFormat="1" ht="21">
      <c r="A35" s="46"/>
      <c r="B35" s="47"/>
      <c r="C35" s="22"/>
      <c r="D35" s="52"/>
      <c r="E35" s="22"/>
      <c r="F35" s="22"/>
      <c r="G35" s="22"/>
      <c r="H35" s="22"/>
      <c r="I35" s="22"/>
      <c r="J35" s="50"/>
      <c r="K35" s="23"/>
      <c r="L35" s="23"/>
      <c r="M35" s="23"/>
      <c r="N35" s="23"/>
      <c r="O35" s="23"/>
      <c r="P35" s="22"/>
      <c r="Q35" s="22"/>
      <c r="R35" s="52"/>
      <c r="S35" s="22"/>
      <c r="T35" s="23"/>
    </row>
    <row r="36" spans="1:20" s="21" customFormat="1" ht="21">
      <c r="A36" s="46"/>
      <c r="B36" s="47"/>
      <c r="C36" s="22"/>
      <c r="D36" s="52"/>
      <c r="E36" s="22"/>
      <c r="F36" s="22"/>
      <c r="G36" s="22"/>
      <c r="H36" s="22"/>
      <c r="I36" s="22"/>
      <c r="J36" s="50"/>
      <c r="K36" s="23"/>
      <c r="L36" s="23"/>
      <c r="M36" s="23"/>
      <c r="N36" s="23"/>
      <c r="O36" s="23"/>
      <c r="P36" s="22"/>
      <c r="Q36" s="22"/>
      <c r="R36" s="52"/>
      <c r="S36" s="22"/>
      <c r="T36" s="23"/>
    </row>
    <row r="37" spans="1:20" s="21" customFormat="1" ht="21">
      <c r="A37" s="46"/>
      <c r="B37" s="47"/>
      <c r="C37" s="22"/>
      <c r="D37" s="52"/>
      <c r="E37" s="22"/>
      <c r="F37" s="22"/>
      <c r="G37" s="22"/>
      <c r="H37" s="22"/>
      <c r="I37" s="22"/>
      <c r="J37" s="50"/>
      <c r="K37" s="23"/>
      <c r="L37" s="23"/>
      <c r="M37" s="23"/>
      <c r="N37" s="23"/>
      <c r="O37" s="23"/>
      <c r="P37" s="22"/>
      <c r="Q37" s="22"/>
      <c r="R37" s="52"/>
      <c r="S37" s="22"/>
      <c r="T37" s="23"/>
    </row>
    <row r="38" spans="1:20" s="21" customFormat="1" ht="21">
      <c r="A38" s="46"/>
      <c r="B38" s="47"/>
      <c r="C38" s="22"/>
      <c r="D38" s="52"/>
      <c r="E38" s="22"/>
      <c r="F38" s="22"/>
      <c r="G38" s="22"/>
      <c r="H38" s="22"/>
      <c r="I38" s="22"/>
      <c r="J38" s="50"/>
      <c r="K38" s="23"/>
      <c r="L38" s="23"/>
      <c r="M38" s="23"/>
      <c r="N38" s="23"/>
      <c r="O38" s="23"/>
      <c r="P38" s="22"/>
      <c r="Q38" s="22"/>
      <c r="R38" s="52"/>
      <c r="S38" s="22"/>
      <c r="T38" s="23"/>
    </row>
    <row r="39" spans="1:20" s="21" customFormat="1" ht="21">
      <c r="A39" s="46"/>
      <c r="B39" s="47"/>
      <c r="C39" s="22"/>
      <c r="D39" s="52"/>
      <c r="E39" s="22"/>
      <c r="F39" s="22"/>
      <c r="G39" s="22"/>
      <c r="H39" s="22"/>
      <c r="I39" s="22"/>
      <c r="J39" s="50"/>
      <c r="K39" s="23"/>
      <c r="L39" s="23"/>
      <c r="M39" s="23"/>
      <c r="N39" s="23"/>
      <c r="O39" s="23"/>
      <c r="P39" s="22"/>
      <c r="Q39" s="22"/>
      <c r="R39" s="52"/>
      <c r="S39" s="22"/>
      <c r="T39" s="23"/>
    </row>
    <row r="40" spans="1:20" s="21" customFormat="1" ht="21">
      <c r="A40" s="46"/>
      <c r="B40" s="47"/>
      <c r="C40" s="22"/>
      <c r="D40" s="52"/>
      <c r="E40" s="22"/>
      <c r="F40" s="22"/>
      <c r="G40" s="22"/>
      <c r="H40" s="22"/>
      <c r="I40" s="22"/>
      <c r="J40" s="50"/>
      <c r="K40" s="23"/>
      <c r="L40" s="23"/>
      <c r="M40" s="23"/>
      <c r="N40" s="23"/>
      <c r="O40" s="23"/>
      <c r="P40" s="22"/>
      <c r="Q40" s="22"/>
      <c r="R40" s="52"/>
      <c r="S40" s="22"/>
      <c r="T40" s="23"/>
    </row>
    <row r="41" spans="1:20" s="21" customFormat="1" ht="21">
      <c r="A41" s="46"/>
      <c r="B41" s="47"/>
      <c r="C41" s="22"/>
      <c r="D41" s="52"/>
      <c r="E41" s="22"/>
      <c r="F41" s="22"/>
      <c r="G41" s="22"/>
      <c r="H41" s="22"/>
      <c r="I41" s="22"/>
      <c r="J41" s="50"/>
      <c r="K41" s="23"/>
      <c r="L41" s="23"/>
      <c r="M41" s="23"/>
      <c r="N41" s="23"/>
      <c r="O41" s="23"/>
      <c r="P41" s="22"/>
      <c r="Q41" s="22"/>
      <c r="R41" s="52"/>
      <c r="S41" s="22"/>
      <c r="T41" s="23"/>
    </row>
  </sheetData>
  <mergeCells count="8">
    <mergeCell ref="E1:E3"/>
    <mergeCell ref="G1:G2"/>
    <mergeCell ref="H2:H3"/>
    <mergeCell ref="S2:S3"/>
    <mergeCell ref="I1:I3"/>
    <mergeCell ref="O1:O3"/>
    <mergeCell ref="P1:P3"/>
    <mergeCell ref="Q1:Q3"/>
  </mergeCells>
  <phoneticPr fontId="5" type="noConversion"/>
  <pageMargins left="0.17" right="0.28000000000000003" top="0.46" bottom="1" header="0.21" footer="0.5"/>
  <pageSetup scale="43" fitToHeight="3" orientation="landscape" r:id="rId1"/>
  <headerFooter alignWithMargins="0"/>
  <ignoredErrors>
    <ignoredError sqref="J19:J20 K22:N22" evalError="1"/>
    <ignoredError sqref="L20 N20" unlockedFormula="1"/>
    <ignoredError sqref="M20" formula="1"/>
    <ignoredError sqref="R20 J22 R22" evalError="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Courtesy Call Log</vt:lpstr>
      <vt:lpstr>Room Moves</vt:lpstr>
      <vt:lpstr>Ballroom Bathrooms Upkeep</vt:lpstr>
      <vt:lpstr>Snapshot</vt:lpstr>
      <vt:lpstr>Front Desk Log Book </vt:lpstr>
      <vt:lpstr>Statistics</vt:lpstr>
      <vt:lpstr>COMP &amp; OOO Rooms</vt:lpstr>
      <vt:lpstr>Pool Inspection &amp; Open-Close</vt:lpstr>
      <vt:lpstr>Groups</vt:lpstr>
      <vt:lpstr>'Front Desk Log Book '!Print_Area</vt:lpstr>
      <vt:lpstr>Groups!Print_Area</vt:lpstr>
      <vt:lpstr>Snapshot!Print_Area</vt:lpstr>
      <vt:lpstr>Statistics!Print_Area</vt:lpstr>
    </vt:vector>
  </TitlesOfParts>
  <Company>Hilton Hotels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CesarEsparza</dc:creator>
  <cp:lastModifiedBy>Front Desk Red Lion Hotel Pasco</cp:lastModifiedBy>
  <cp:lastPrinted>2016-11-01T08:59:41Z</cp:lastPrinted>
  <dcterms:created xsi:type="dcterms:W3CDTF">2007-02-23T18:11:21Z</dcterms:created>
  <dcterms:modified xsi:type="dcterms:W3CDTF">2026-05-19T11:58:06Z</dcterms:modified>
</cp:coreProperties>
</file>